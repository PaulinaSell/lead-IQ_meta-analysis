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LIT REVIEW" sheetId="1" r:id="rId5"/>
    <sheet name="DESCRI Pb" sheetId="2" r:id="rId6"/>
    <sheet name="SUMMARY Pb" sheetId="3" r:id="rId7"/>
    <sheet name="HARMONIZATION" sheetId="4" r:id="rId8"/>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<sst xmlns="http://schemas.openxmlformats.org/spreadsheetml/2006/main" uniqueCount="4163">
  <si>
    <t>IDENTIFICATION</t>
  </si>
  <si>
    <t>SCREENING ON TITLE + ABSTRACT</t>
  </si>
  <si>
    <t>SCREENING ON FULL TEXT</t>
  </si>
  <si>
    <t>Restriction of the PECOTS</t>
  </si>
  <si>
    <t>Preparation for Pb meta-analysis</t>
  </si>
  <si>
    <t>Title</t>
  </si>
  <si>
    <t>Year</t>
  </si>
  <si>
    <t>First author</t>
  </si>
  <si>
    <t>First author and year</t>
  </si>
  <si>
    <t>DOI</t>
  </si>
  <si>
    <t>Associated papers ?</t>
  </si>
  <si>
    <t>N reviewers for title and abstract</t>
  </si>
  <si>
    <t>Conflict R1-R2 ? (2 maybes = conflict)</t>
  </si>
  <si>
    <t>Final decision based on title and abstract</t>
  </si>
  <si>
    <t>Exclusion reasons</t>
  </si>
  <si>
    <t>Labels (ERF update if relevant for meta-analysis and EBD ; exposure data if relevant for expo assessment)</t>
  </si>
  <si>
    <t>Decision after full-text screening</t>
  </si>
  <si>
    <t>METAL</t>
  </si>
  <si>
    <t>Comments</t>
  </si>
  <si>
    <t>Use of WISC, WASI, SBIS or WPPSI in children ?</t>
  </si>
  <si>
    <t>Any results usable in meta-analysis for Pb ? (= continuous association with uncertainty)</t>
  </si>
  <si>
    <t>Used in meta-analysis ?</t>
  </si>
  <si>
    <t>Government &amp; policy concentrates: EPA tightens standards for lead emissions</t>
  </si>
  <si>
    <t>.</t>
  </si>
  <si>
    <t>. 2008</t>
  </si>
  <si>
    <t>NO</t>
  </si>
  <si>
    <t>Excluded</t>
  </si>
  <si>
    <t>wrong exposure</t>
  </si>
  <si>
    <t>Scientific Opinion on Lead in Food</t>
  </si>
  <si>
    <t>. 2010</t>
  </si>
  <si>
    <t>10.2903/j.efsa.2010.1570</t>
  </si>
  <si>
    <t>wrong study design</t>
  </si>
  <si>
    <t xml:space="preserve">review </t>
  </si>
  <si>
    <t>Statement on the benefits of fish/seafood consumption compared to the risks of methylmercury in fish/seafood</t>
  </si>
  <si>
    <t>. 2015</t>
  </si>
  <si>
    <t>10.2903/j.efsa.2015.3982</t>
  </si>
  <si>
    <t>13th International Conference on ICT Innovations, ICT Innovations 2021</t>
  </si>
  <si>
    <t>. 2022</t>
  </si>
  <si>
    <t>wrong publication type</t>
  </si>
  <si>
    <t>Environmental lead exposure among primary school children in Shebin El-Kom District, Menoufiya Governorate, Egypt</t>
  </si>
  <si>
    <t>Abdel Rasoul</t>
  </si>
  <si>
    <t>Abdel Rasoul 2012</t>
  </si>
  <si>
    <t>Included</t>
  </si>
  <si>
    <t>ERF update</t>
  </si>
  <si>
    <t>Pb</t>
  </si>
  <si>
    <t>Categorical exposure</t>
  </si>
  <si>
    <t>YES</t>
  </si>
  <si>
    <t>No</t>
  </si>
  <si>
    <t>Geographic differences in exposures to metals and essential elements in pregnant women living in Suriname</t>
  </si>
  <si>
    <t>Abdoel Wahid</t>
  </si>
  <si>
    <t>Abdoel Wahid 2023</t>
  </si>
  <si>
    <t>10.1038/s41370-023-00526-0</t>
  </si>
  <si>
    <t xml:space="preserve">wrong setting, wrong study design </t>
  </si>
  <si>
    <t>Neuropsychological effects in children exposed to anticonvulsant monotherapy during gestation: Phenobarbital, carbamazepine, and phenytoin</t>
  </si>
  <si>
    <t>Adams</t>
  </si>
  <si>
    <t>Adams 2022</t>
  </si>
  <si>
    <t>10.1016/j.yebeh.2021.108533</t>
  </si>
  <si>
    <t>Evaluation of School-Age Children's Intelligence Quotient and Their Chronic Exposure to Trace Elements in Ambient Air</t>
  </si>
  <si>
    <t>Adly</t>
  </si>
  <si>
    <t>Adly 2023</t>
  </si>
  <si>
    <t>10.7759/cureus.37532</t>
  </si>
  <si>
    <t xml:space="preserve">wrong exposure </t>
  </si>
  <si>
    <t>Use of a general toxicity test to predict heavy metal concentrations in residential soils</t>
  </si>
  <si>
    <t>Aelion</t>
  </si>
  <si>
    <t>Aelion 2007</t>
  </si>
  <si>
    <t>10.1016/j.chemosphere.2006.10.042</t>
  </si>
  <si>
    <t xml:space="preserve">wrong exposure, wrong study design </t>
  </si>
  <si>
    <t>Metal concentrations in rural topsoil in South Carolina: potential for human health impact</t>
  </si>
  <si>
    <t>Aelion 2008</t>
  </si>
  <si>
    <t>10.1016/j.scitotenv.2008.04.043</t>
  </si>
  <si>
    <t>Soil metal concentrations and toxicity: associations with distances to industrial facilities and implications for human health</t>
  </si>
  <si>
    <t>Aelion 2009</t>
  </si>
  <si>
    <t>10.1016/j.scitotenv.2008.11.033</t>
  </si>
  <si>
    <t>Associations between soil lead concentrations and populations by race/ethnicity and income-to-poverty ratio in urban and rural areas</t>
  </si>
  <si>
    <t>Aelion 2013</t>
  </si>
  <si>
    <t>10.1007/s10653-012-9472-0</t>
  </si>
  <si>
    <t>Prevalence of Blood Lead Levels (BLLs) in children visiting tertiary care hospitals of Peshawar from February to April 2015: A pilot study</t>
  </si>
  <si>
    <t>Afridi</t>
  </si>
  <si>
    <t>Afridi 2016</t>
  </si>
  <si>
    <t xml:space="preserve">wrong outcome, wrong setting </t>
  </si>
  <si>
    <t>exposure data</t>
  </si>
  <si>
    <t>(Ascorb)ing Pb Neurotoxicity in the Developing Brain</t>
  </si>
  <si>
    <t>Ahmad</t>
  </si>
  <si>
    <t>Ahmad 2020</t>
  </si>
  <si>
    <t>10.3390/antiox9121311</t>
  </si>
  <si>
    <t xml:space="preserve">wrong study design </t>
  </si>
  <si>
    <t>review</t>
  </si>
  <si>
    <t>DOES HIGH FLUORIDE INTAKE CAUSE LOW IQ? A CASE OF ISLAMIC RELIGIOUS SCHOOLS (MADRASSAS) IN RURAL AND URBAN AREAS OF SINDH, PAKISTAN</t>
  </si>
  <si>
    <t>Ahmad 2022</t>
  </si>
  <si>
    <t>Exposure routes and health effects of heavy metals on children</t>
  </si>
  <si>
    <t>Al Osman</t>
  </si>
  <si>
    <t>Al Osman 2019</t>
  </si>
  <si>
    <t>10.1007/s10534-019-00193-5</t>
  </si>
  <si>
    <t>wrong outcome</t>
  </si>
  <si>
    <t>Maternal fish consumption and prenatal methylmercury exposure: a review</t>
  </si>
  <si>
    <t>Al-Ardhi</t>
  </si>
  <si>
    <t>Al-Ardhi 2008</t>
  </si>
  <si>
    <t>10.1177/026010600801900404</t>
  </si>
  <si>
    <t>Mercury is a direct and potent Î³-secretase inhibitor affecting Notch processing and development in Drosophila</t>
  </si>
  <si>
    <t>Alattia</t>
  </si>
  <si>
    <t>Alattia 2011</t>
  </si>
  <si>
    <t>10.1096/fj.10-174078</t>
  </si>
  <si>
    <t>wrong population</t>
  </si>
  <si>
    <t>Integrating variability in half-lives and dietary intakes to predict mercury concentration in hair</t>
  </si>
  <si>
    <t>Albert</t>
  </si>
  <si>
    <t>Albert 2010</t>
  </si>
  <si>
    <t>10.1016/j.yrtph.2010.08.020</t>
  </si>
  <si>
    <t>Early-life lead exposure and neurodevelopmental disorders</t>
  </si>
  <si>
    <t>Albores-Garcia</t>
  </si>
  <si>
    <t>Albores-Garcia 2021</t>
  </si>
  <si>
    <t>10.1016/j.cotox.2021.03.007</t>
  </si>
  <si>
    <t>Perinatal Fentanyl Exposure Leads to Long-Lasting Impairments in Somatosensory Circuit Function and Behavior</t>
  </si>
  <si>
    <t>Alipio</t>
  </si>
  <si>
    <t>Alipio 2021</t>
  </si>
  <si>
    <t>10.1523/JNEUROSCI.2470-20.2021</t>
  </si>
  <si>
    <t>Tap Water Lead Levels in Madrid (Spain): Degree of Compliance and Health Risk Assessment</t>
  </si>
  <si>
    <t>Almonacid Garrido</t>
  </si>
  <si>
    <t>Almonacid Garrido 2021</t>
  </si>
  <si>
    <t>10.1007/s12403-020-00374-5</t>
  </si>
  <si>
    <t xml:space="preserve">Wrong exposure, wrong study design </t>
  </si>
  <si>
    <t>Mercury (Hg) exposure in breast-fed infants and their mothers and the evidence of oxidative stress</t>
  </si>
  <si>
    <t>Al-Saleh</t>
  </si>
  <si>
    <t>Al-Saleh 2013</t>
  </si>
  <si>
    <t>10.1007/s12011-013-9687-7</t>
  </si>
  <si>
    <t>The extent of mercury (Hg) exposure among Saudi mothers and their respective infants</t>
  </si>
  <si>
    <t>Al-Saleh 2015</t>
  </si>
  <si>
    <t>10.1007/s10661-015-4858-y</t>
  </si>
  <si>
    <t xml:space="preserve">wrong outcome, wrong exposure </t>
  </si>
  <si>
    <t>Alterations in biochemical markers due to mercury (Hg) exposure and its influence on infant's neurodevelopment</t>
  </si>
  <si>
    <t>Al-Saleh 2016</t>
  </si>
  <si>
    <t>10.1016/j.ijheh.2016.07.002</t>
  </si>
  <si>
    <t xml:space="preserve">wrong outcome </t>
  </si>
  <si>
    <t>Mercury (Hg) exposure and its effects on Saudi breastfed infant's neurodevelopment</t>
  </si>
  <si>
    <t>10.1016/j.ijheh.2015.10.002</t>
  </si>
  <si>
    <t>Selenium status in lactating mothers-infants and its potential protective role against the neurotoxicity of methylmercury, lead, manganese, and DDT</t>
  </si>
  <si>
    <t>Al-Saleh 2019</t>
  </si>
  <si>
    <t>10.1016/j.envres.2019.108562</t>
  </si>
  <si>
    <t>Effects of early and recent mercury and lead exposure on the neurodevelopment of children with elevated mercury and/or developmental delays during lactation: A follow-up study</t>
  </si>
  <si>
    <t>Al-Saleh 2020</t>
  </si>
  <si>
    <t>10.1016/j.ijheh.2020.113629</t>
  </si>
  <si>
    <t>Health Risk Assessment of Trace Metals Through Breast Milk Consumption in Saudi Arabia</t>
  </si>
  <si>
    <t>Al-Saleh 2021</t>
  </si>
  <si>
    <t>10.1007/s12011-021-02607-3</t>
  </si>
  <si>
    <t>Exposure of preterm neonates to toxic metals during their stay in the Neonatal Intensive Care Unit and its impact on neurodevelopment at 2 months of age</t>
  </si>
  <si>
    <t>Al-Saleh 2023</t>
  </si>
  <si>
    <t>10.1016/j.jtemb.2023.127173</t>
  </si>
  <si>
    <t>Low blood lead levels impair intellectual and hematological function in children from Cartagena, Caribbean coast of Colombia</t>
  </si>
  <si>
    <t>Alvarez-Ortega</t>
  </si>
  <si>
    <t>Alvarez-Ortega 2017</t>
  </si>
  <si>
    <t>10.1016/j.jtemb.2017.08.006</t>
  </si>
  <si>
    <t>Alvarez-Ortega 2019</t>
  </si>
  <si>
    <t>Duplicate</t>
  </si>
  <si>
    <t>Grouped with Alvarez-Ortega 2019 (exact same population)</t>
  </si>
  <si>
    <t>Toxicological effects in children exposed to lead: A cross-sectional study at the Colombian Caribbean coast</t>
  </si>
  <si>
    <t>10.1016/j.envint.2019.05.003</t>
  </si>
  <si>
    <t>No useable effect estimate</t>
  </si>
  <si>
    <t>To be grouped with Alvarez-Ortega 2017 (same cohort)</t>
  </si>
  <si>
    <t>Lead levels in children deciduous teeth are associated with parents' education status and daily dairy consumption: An iranian experience</t>
  </si>
  <si>
    <t>Amirabadi</t>
  </si>
  <si>
    <t>Amirabadi 2016</t>
  </si>
  <si>
    <t>Maternal selenium status and neuropsychological development in Spanish preschool children</t>
  </si>
  <si>
    <t>Amoros</t>
  </si>
  <si>
    <t>Amoros 2018</t>
  </si>
  <si>
    <t>10.1016/j.envres.2018.06.002</t>
  </si>
  <si>
    <t>Relationship of attention deficit hyperactivity disorder and Pb Mg with intelligence quotient</t>
  </si>
  <si>
    <t>An</t>
  </si>
  <si>
    <t>An 2005</t>
  </si>
  <si>
    <t>Wrong language</t>
  </si>
  <si>
    <t>Article in Chinese</t>
  </si>
  <si>
    <t>Newborns health in the Danube Region: Environment, biomonitoring, interventions and economic benefits in a large prospective birth cohort study</t>
  </si>
  <si>
    <t>Andersen</t>
  </si>
  <si>
    <t>Andersen 2016</t>
  </si>
  <si>
    <t>10.1016/j.envint.2015.12.009</t>
  </si>
  <si>
    <t xml:space="preserve">wrong exposure, wrong publication type </t>
  </si>
  <si>
    <t>PRACTICAL STEPS TO IMPROVE THE DIAGNOSTICS OF INHERITED METABOLIC DISEASES IN NEWBORNS AND OLDER CHILDREN IN UKRAINE</t>
  </si>
  <si>
    <t>Antipkin</t>
  </si>
  <si>
    <t>Antipkin 2019</t>
  </si>
  <si>
    <t>10.24061/2413-4260.IX.1.31.2019.1</t>
  </si>
  <si>
    <t>wrong exposure, wrong study design</t>
  </si>
  <si>
    <t>Neurodevelopmental health effects of chronic mercury exposure</t>
  </si>
  <si>
    <t>Anyanwu</t>
  </si>
  <si>
    <t>Anyanwu 2007</t>
  </si>
  <si>
    <t>10.1515/IJDHD.2007.6.3.247</t>
  </si>
  <si>
    <t>Prenatal exposure to neurotoxic metals is associated with increased placental glucocorticoid receptor DNA methylation</t>
  </si>
  <si>
    <t>Appleton</t>
  </si>
  <si>
    <t>Appleton 2017</t>
  </si>
  <si>
    <t>10.1080/15592294.2017.1320637</t>
  </si>
  <si>
    <t>wrong outcome, wrong exposure</t>
  </si>
  <si>
    <t>Lead Poisoning: An updated Review of Literature</t>
  </si>
  <si>
    <t>Arora</t>
  </si>
  <si>
    <t>Arora 2022</t>
  </si>
  <si>
    <t>10.5958/0974-0848.2022.00045.8</t>
  </si>
  <si>
    <t>[Environmental toxic and its effect on neurodevelopment]</t>
  </si>
  <si>
    <t>Arroyo</t>
  </si>
  <si>
    <t>Arroyo 2013</t>
  </si>
  <si>
    <t>[Comunicable diseases, mental health and exposure to environmental pollutants in population living near Las Bambas mining project before exploitation phase, Peru 2006]</t>
  </si>
  <si>
    <t>Astete</t>
  </si>
  <si>
    <t>Astete 2010</t>
  </si>
  <si>
    <t>10.1590/s1726-46342010000400004</t>
  </si>
  <si>
    <t>Economic costs of childhood lead exposure in low- and middle-income countries</t>
  </si>
  <si>
    <t>Attina</t>
  </si>
  <si>
    <t>Attina 2013</t>
  </si>
  <si>
    <t>10.1289/ehp.1206424</t>
  </si>
  <si>
    <t>Cost analysis</t>
  </si>
  <si>
    <t>Dynamical properties of elemental metabolism distinguish attention deficit hyperactivity disorder from autism spectrum disorder</t>
  </si>
  <si>
    <t>Austin</t>
  </si>
  <si>
    <t>Austin 2019</t>
  </si>
  <si>
    <t>10.1038/s41398-019-0567-6</t>
  </si>
  <si>
    <t>Dose-response relationship of prenatal mercury exposure and IQ: an integrative analysis of epidemiologic data</t>
  </si>
  <si>
    <t>Axelrad</t>
  </si>
  <si>
    <t>Axelrad 2007</t>
  </si>
  <si>
    <t>10.1289/ehp.9303</t>
  </si>
  <si>
    <t>Hg</t>
  </si>
  <si>
    <t>The relationship between childhood blood lead levels below 5 µg/dL and childhood intelligence quotient (IQ): Protocol for a systematic review and meta-analysis</t>
  </si>
  <si>
    <t>Axelrad 2022</t>
  </si>
  <si>
    <t>10.1016/j.envint.2022.107475</t>
  </si>
  <si>
    <t>Delta-Aminolevulinic Acid Dehydratase, Low Blood Lead Levels, Social Factors, and Intellectual Function in an Afro-Brazilian Children Community</t>
  </si>
  <si>
    <t>Bah</t>
  </si>
  <si>
    <t>Bah 2022</t>
  </si>
  <si>
    <t>10.1007/s12011-021-02656-8</t>
  </si>
  <si>
    <t xml:space="preserve">Wrong outcome </t>
  </si>
  <si>
    <t>Non verbal IQ only (determined by Raven's test).</t>
  </si>
  <si>
    <t>Deficiency of transmembrane AMPA receptor regulatory protein Î³-8 leads to attention-deficit hyperactivity disorder-like behavior in mice</t>
  </si>
  <si>
    <t>Bai</t>
  </si>
  <si>
    <t>Bai 2022</t>
  </si>
  <si>
    <t>10.24272/j.issn.2095-8137.2022.122</t>
  </si>
  <si>
    <t>Substance misuse and forensic adolescent mental health</t>
  </si>
  <si>
    <t>Bailey</t>
  </si>
  <si>
    <t>Bailey 2019</t>
  </si>
  <si>
    <t>10.4324/9780429284304-19</t>
  </si>
  <si>
    <t>Adequate antenatal care and ethnicity affect preterm birth in pregnant women living in the tropical rainforest of Suriname</t>
  </si>
  <si>
    <t>Baldewsingh</t>
  </si>
  <si>
    <t>Baldewsingh 2020</t>
  </si>
  <si>
    <t>10.1186/s12884-020-03364-2</t>
  </si>
  <si>
    <t>wrong setting, wrong exposure</t>
  </si>
  <si>
    <t>Prenatal Mercury Exposure in Pregnant Women from Suriname's Interior and Its Effects on Birth Outcomes</t>
  </si>
  <si>
    <t>10.3390/ijerph17114032</t>
  </si>
  <si>
    <t>Prenatal mercury exposure and child neurodevelopment outcomes at 18 months: Results from the Mediterranean PHIME cohort</t>
  </si>
  <si>
    <t>Barbone</t>
  </si>
  <si>
    <t>Barbone 2019</t>
  </si>
  <si>
    <t>10.1016/j.ijheh.2018.07.011</t>
  </si>
  <si>
    <t>Exposure data, ERF update</t>
  </si>
  <si>
    <t>Prenatal low-level methyl mercury exposure and child development in an Italian coastal area</t>
  </si>
  <si>
    <t>Barbone 2020</t>
  </si>
  <si>
    <t>10.1016/j.neuro.2020.09.033</t>
  </si>
  <si>
    <t xml:space="preserve">Exposure data </t>
  </si>
  <si>
    <t>Lead in school drinking water: Canada can and should address this important ongoing exposure source</t>
  </si>
  <si>
    <t>Barn</t>
  </si>
  <si>
    <t>Barn 2011</t>
  </si>
  <si>
    <t>10.1007/bf03404159</t>
  </si>
  <si>
    <t>Child lead poisoning in South Africa: implications for psychological research</t>
  </si>
  <si>
    <t>Barnes</t>
  </si>
  <si>
    <t>Barnes 2018</t>
  </si>
  <si>
    <t>10.1177/0081246317714106</t>
  </si>
  <si>
    <t>Renal effects of dental amalgam in children: the New England children's amalgam trial</t>
  </si>
  <si>
    <t>Barregard</t>
  </si>
  <si>
    <t>Barregard 2008</t>
  </si>
  <si>
    <t>10.1289/ehp.10504</t>
  </si>
  <si>
    <t>Determinants of blood lead levels in children: a cross-sectional study in the Canary Islands (Spain)</t>
  </si>
  <si>
    <t>Bas</t>
  </si>
  <si>
    <t>Bas 2012</t>
  </si>
  <si>
    <t>10.1016/j.ijheh.2011.10.011</t>
  </si>
  <si>
    <t>Exposure data</t>
  </si>
  <si>
    <t>The impact of mercury contamination on human health in the Arctic: A state of the science review</t>
  </si>
  <si>
    <t>Basu</t>
  </si>
  <si>
    <t>Basu 2022</t>
  </si>
  <si>
    <t>10.1016/j.scitotenv.2022.154793</t>
  </si>
  <si>
    <t>review, ADHD</t>
  </si>
  <si>
    <t>Mathematical analysis of dermal absorption rate of heavy metals</t>
  </si>
  <si>
    <t>Batkin</t>
  </si>
  <si>
    <t>Batkin 2015</t>
  </si>
  <si>
    <t>10.1109/EMBC.2015.7320265</t>
  </si>
  <si>
    <t>Associations of a Metal Mixture Measured in Multiple Biomarkers with IQ: Evidence from Italian Adolescents Living near Ferroalloy Industry</t>
  </si>
  <si>
    <t>Bauer</t>
  </si>
  <si>
    <t>Bauer 2020</t>
  </si>
  <si>
    <t>10.1289/ehp6803</t>
  </si>
  <si>
    <t>ERF update, mixture</t>
  </si>
  <si>
    <t>Yes</t>
  </si>
  <si>
    <t>Associations of metals and neurodevelopment: a review of recent evidence on susceptibility factors</t>
  </si>
  <si>
    <t>10.1007/s40471-020-00249-y</t>
  </si>
  <si>
    <t>review, mixture, windows</t>
  </si>
  <si>
    <t>Associations of Perinatal Metal and Metalloid Exposures with Early Child Behavioral Development Over Time in the New Hampshire Birth Cohort Study</t>
  </si>
  <si>
    <t>Bauer 2023</t>
  </si>
  <si>
    <t>10.1007/s12403-023-00543-2</t>
  </si>
  <si>
    <t>Economic benefits of methylmercury exposure control in Europe: monetary value of neurotoxicity prevention</t>
  </si>
  <si>
    <t>Bellanger</t>
  </si>
  <si>
    <t>Bellanger 2013</t>
  </si>
  <si>
    <t>10.1186/1476-069x-12-3</t>
  </si>
  <si>
    <t>Exposure data, EBD, cost</t>
  </si>
  <si>
    <t>A pilot study of blood lead levels and neurobehavioral function in children living in Chennai, India</t>
  </si>
  <si>
    <t>Bellinger</t>
  </si>
  <si>
    <t>Bellinger 2005</t>
  </si>
  <si>
    <t>10.1179/oeh.2005.11.2.138</t>
  </si>
  <si>
    <t xml:space="preserve">ERF update </t>
  </si>
  <si>
    <t>Full text not retrieved</t>
  </si>
  <si>
    <t>Neurobehavioral Assessment in Studies of Exposures to Neurotoxicants</t>
  </si>
  <si>
    <t>10.1016/S0074-7750(05)30009-7</t>
  </si>
  <si>
    <t>Neuropsychological and renal effects of dental amalgam in children: a randomized clinical trial</t>
  </si>
  <si>
    <t>Bellinger 2006</t>
  </si>
  <si>
    <t>10.1001/jama.295.15.1775</t>
  </si>
  <si>
    <t>A dose-effect analysis of children's exposure to dental amalgam and neuropsychological function: the New England Children's Amalgam Trial</t>
  </si>
  <si>
    <t>Bellinger 2007</t>
  </si>
  <si>
    <t>10.14219/jada.archive.2007.0345</t>
  </si>
  <si>
    <t>Lead neurotoxicity and socioeconomic status: conceptual and analytical issues</t>
  </si>
  <si>
    <t>Bellinger 2008</t>
  </si>
  <si>
    <t>10.1016/j.neuro.2008.04.005</t>
  </si>
  <si>
    <t>SES</t>
  </si>
  <si>
    <t>Very low lead exposures and children's neurodevelopment</t>
  </si>
  <si>
    <t>10.1097/MOP.0b013e3282f4f97b</t>
  </si>
  <si>
    <t>The protean toxicities of lead: new chapters in a familiar story</t>
  </si>
  <si>
    <t>Bellinger 2011</t>
  </si>
  <si>
    <t>10.3390/ijerph8072593</t>
  </si>
  <si>
    <t>Comparing the population neurodevelopmental burdens associated with children's exposures to environmental chemicals and other risk factors</t>
  </si>
  <si>
    <t>Bellinger 2012</t>
  </si>
  <si>
    <t>10.1016/j.neuro.2012.04.003</t>
  </si>
  <si>
    <t>EBD</t>
  </si>
  <si>
    <t>Wrong study design</t>
  </si>
  <si>
    <t>Used existing ERFs (Lanphear 2005 and Axelrad 2007)</t>
  </si>
  <si>
    <t>Prenatal Exposures to Environmental Chemicals and Children's Neurodevelopment: An Update</t>
  </si>
  <si>
    <t>Bellinger 2013</t>
  </si>
  <si>
    <t>10.5491/shaw.2013.4.1.1</t>
  </si>
  <si>
    <t>Country-specific estimates of the incidence of intellectual disability associated with prenatal exposure to methylmercury</t>
  </si>
  <si>
    <t>Bellinger 2016</t>
  </si>
  <si>
    <t>10.1016/j.envres.2015.10.006</t>
  </si>
  <si>
    <t>The Neurodevelopmental Toxicity of Lead: History, Epidemiology, and Public Health Implications</t>
  </si>
  <si>
    <t>Bellinger 2018</t>
  </si>
  <si>
    <t>10.1016/bs.ant.2018.03.009</t>
  </si>
  <si>
    <t>Characterizing the neurodevelopmental pesticide exposome in a childrenâ€™s agricultural cohort</t>
  </si>
  <si>
    <t>Bennett</t>
  </si>
  <si>
    <t>Bennett 2020</t>
  </si>
  <si>
    <t>10.3390/ijerph17051479</t>
  </si>
  <si>
    <t>Adolescent thalamic inhibition leads to long-lasting impairments in prefrontal cortex function</t>
  </si>
  <si>
    <t>Benoit</t>
  </si>
  <si>
    <t>Benoit 2022</t>
  </si>
  <si>
    <t>10.1038/s41593-022-01072-y</t>
  </si>
  <si>
    <t>wrong exposure, wrong population</t>
  </si>
  <si>
    <t>Identification of urinary metabolites that correlate with clinical improvements in children with autism treated with sulforaphane from broccoli</t>
  </si>
  <si>
    <t>Bent</t>
  </si>
  <si>
    <t>Bent 2018</t>
  </si>
  <si>
    <t>10.1186/s13229-018-0218-4</t>
  </si>
  <si>
    <t>Low-level neonatal thimerosal exposure: Further evaluation of altered neurotoxic potential in SJL mice</t>
  </si>
  <si>
    <t>Berman</t>
  </si>
  <si>
    <t>Berman 2008</t>
  </si>
  <si>
    <t>10.1093/toxsci/kfm265</t>
  </si>
  <si>
    <t>Lead in spray paint and painted surfaces in playgrounds and public areas in Israel: Results of a pilot study</t>
  </si>
  <si>
    <t>Berman 2018</t>
  </si>
  <si>
    <t>10.1016/j.scitotenv.2018.05.005</t>
  </si>
  <si>
    <t>Think Beyond Malformations: The Case for Periconceptional Folate in Women With Epilepsy</t>
  </si>
  <si>
    <t>Bermeo-Ovalle</t>
  </si>
  <si>
    <t>Bermeo-Ovalle 2020</t>
  </si>
  <si>
    <t>10.1177/1535759720932153</t>
  </si>
  <si>
    <t>Relationship between blood manganese levels and children's attention, cognition, behavior, and academic performance-A nationwide cross-sectional study</t>
  </si>
  <si>
    <t>Bhang</t>
  </si>
  <si>
    <t>Bhang 2013</t>
  </si>
  <si>
    <t>10.1016/j.envres.2013.05.006</t>
  </si>
  <si>
    <t>Maternal Stress and Depressive Symptoms and Infant Development at Six Months: the Mothers and Children's Environmental Health (MOCEH) Prospective Study</t>
  </si>
  <si>
    <t>Bhang 2016</t>
  </si>
  <si>
    <t>10.3346/jkms.2016.31.6.843</t>
  </si>
  <si>
    <t>Nutrition-pollution interaction: An emerging research area</t>
  </si>
  <si>
    <t>Bharatraj</t>
  </si>
  <si>
    <t>Bharatraj 2018</t>
  </si>
  <si>
    <t>10.4103/ijmr.IJMR_1733_18</t>
  </si>
  <si>
    <t>Health impact assessment and monetary valuation of IQ loss in pre-school children due to lead exposure through locally produced food</t>
  </si>
  <si>
    <t>Bierkens</t>
  </si>
  <si>
    <t>Bierkens 2012</t>
  </si>
  <si>
    <t>10.1016/j.scitotenv.2011.10.048</t>
  </si>
  <si>
    <t>eBD, cost analysis</t>
  </si>
  <si>
    <t>Societal benefits from EU reduction measures to decrease lead levels in the environment Combining results from the EU funded projects INTARESE and HEIMTSA</t>
  </si>
  <si>
    <t>Bierkens 2013</t>
  </si>
  <si>
    <t>10.1051/e3sconf/20130138002</t>
  </si>
  <si>
    <t>Early-Life Lead Exposure: Risks and Neurotoxic Consequences</t>
  </si>
  <si>
    <t>Bjorklund</t>
  </si>
  <si>
    <t>Bjorklund 2023</t>
  </si>
  <si>
    <t>10.2174/0929867330666230409135310</t>
  </si>
  <si>
    <t>Methyl mercury exposure in Swedish women with high fish consumption</t>
  </si>
  <si>
    <t>Björnberg</t>
  </si>
  <si>
    <t>Björnberg 2005</t>
  </si>
  <si>
    <t>10.1016/j.scitotenv.2004.09.033</t>
  </si>
  <si>
    <t>Modulation of the effects of methylmercury on rat neurodevelopment by co-exposure with Labrador Tea (Rhododendron tomentosum ssp. subarcticum)</t>
  </si>
  <si>
    <t>Black</t>
  </si>
  <si>
    <t>Black 2011</t>
  </si>
  <si>
    <t>10.1016/j.fct.2011.06.035</t>
  </si>
  <si>
    <t>Elevated Blood Lead Levels in Infants and Mothers in Benin and Potential Sources of Exposure</t>
  </si>
  <si>
    <t>Bodeau-Livinec</t>
  </si>
  <si>
    <t>Bodeau-Livinec 2016</t>
  </si>
  <si>
    <t>10.3390/ijerph13030316</t>
  </si>
  <si>
    <t>wrong setting, wrong study design</t>
  </si>
  <si>
    <t>Concurrent exposure to heavy metals and cognition in school-age children in Congo-Kinshasa: A complex overdue research agenda</t>
  </si>
  <si>
    <t>Bora</t>
  </si>
  <si>
    <t>Bora 2019</t>
  </si>
  <si>
    <t>10.1016/j.brainresbull.2018.06.013</t>
  </si>
  <si>
    <t>Wrong exposure</t>
  </si>
  <si>
    <t>Results for Pb and Hg not reported</t>
  </si>
  <si>
    <t>Food safety</t>
  </si>
  <si>
    <t>Borchers</t>
  </si>
  <si>
    <t>Borchers 2010</t>
  </si>
  <si>
    <t>10.1007/s12016-009-8176-4</t>
  </si>
  <si>
    <t>The Threat Posed by Environmental Contaminants on Neurodevelopment: What Can We Learn from Neural Stem Cells?</t>
  </si>
  <si>
    <t>Bose</t>
  </si>
  <si>
    <t>Bose 2023</t>
  </si>
  <si>
    <t>10.3390/ijms24054338</t>
  </si>
  <si>
    <t>Neurodevelopment of Infants in a Mercury Contaminated Crea in Zimbabwe</t>
  </si>
  <si>
    <t>Bose-O'reilly</t>
  </si>
  <si>
    <t>Bose-O'reilly 2013</t>
  </si>
  <si>
    <t>10.1051/e3sconf/20130140001</t>
  </si>
  <si>
    <t>wrong outcome, wrong setting</t>
  </si>
  <si>
    <t>Prenatal exposure to methylmercury and PCBs affects distinct stages of information processing: an event-related potential study with Inuit children</t>
  </si>
  <si>
    <t>Boucher</t>
  </si>
  <si>
    <t>Boucher 2010</t>
  </si>
  <si>
    <t>10.1016/j.neuro.2010.04.005</t>
  </si>
  <si>
    <t>What is the meaning of non-linear dose-response relationships between blood lead concentrations and IQ?</t>
  </si>
  <si>
    <t>Bowers</t>
  </si>
  <si>
    <t>Bowers 2006</t>
  </si>
  <si>
    <t>10.1016/j.neuro.2006.02.001</t>
  </si>
  <si>
    <t>Comments on: Chari, r. burke, t.a. white, r.h. fox, m.a. integrating susceptibility into environmental policy: An analysis of the national ambient air quality standard for lead. int. j. environ. res. public health 2012, 9, 1077-1096</t>
  </si>
  <si>
    <t>Bowers 2013</t>
  </si>
  <si>
    <t>10.3390/ijerph10020742</t>
  </si>
  <si>
    <t>Estimated IQ points and lifetime earnings lost to early childhood blood lead levels in the United States</t>
  </si>
  <si>
    <t>Boyle</t>
  </si>
  <si>
    <t>Boyle 2021</t>
  </si>
  <si>
    <t>10.1016/j.scitotenv.2021.146307</t>
  </si>
  <si>
    <t>Gould 2009</t>
  </si>
  <si>
    <t>eBD, ERF update</t>
  </si>
  <si>
    <t>Used existing ERFs</t>
  </si>
  <si>
    <t>Prenatal metal exposure, cord blood DNA methylation and persistence in childhood: an epigenome-wide association study of 12 metals</t>
  </si>
  <si>
    <t>Bozack</t>
  </si>
  <si>
    <t>Bozack 2021</t>
  </si>
  <si>
    <t>10.1186/s13148-021-01198-z</t>
  </si>
  <si>
    <t>Assessing windows of susceptibility to lead-induced cognitive deficits in Mexican children</t>
  </si>
  <si>
    <t>Braun</t>
  </si>
  <si>
    <t>Braun 2012</t>
  </si>
  <si>
    <t>10.1016/j.neuro.2012.04.022</t>
  </si>
  <si>
    <t>The environment and susceptibility to schizophrenia</t>
  </si>
  <si>
    <t>Brown</t>
  </si>
  <si>
    <t>Brown 2011</t>
  </si>
  <si>
    <t>10.1016/j.pneurobio.2010.09.003</t>
  </si>
  <si>
    <t>wrong outcome, wrong study design</t>
  </si>
  <si>
    <t>Neurotoxicant exposure during pregnancy is a confounder for assessment of iodine supplementation on neurodevelopment outcome</t>
  </si>
  <si>
    <t>Brucker-Davis</t>
  </si>
  <si>
    <t>Brucker-Davis 2015</t>
  </si>
  <si>
    <t>10.1016/j.ntt.2015.07.009</t>
  </si>
  <si>
    <t>Fish Consumption and Hair Mercury Among Asians in Chicago</t>
  </si>
  <si>
    <t>Buchanan</t>
  </si>
  <si>
    <t>Buchanan 2015</t>
  </si>
  <si>
    <t>10.1097/jom.0000000000000560</t>
  </si>
  <si>
    <t>An international pooled analysis for obtaining a benchmark dose for environmental lead exposure in children</t>
  </si>
  <si>
    <t>Budtz-Jorgensen</t>
  </si>
  <si>
    <t>Budtz-Jørgensen  2013</t>
  </si>
  <si>
    <t>10.1111/j.1539-6924.2012.01882.x</t>
  </si>
  <si>
    <t>No indication of uncertainty (a range of values rather)</t>
  </si>
  <si>
    <t>Health and Economic Consequences of Lead Exposure Associated with Products and Services Provided by the Informal Economy</t>
  </si>
  <si>
    <t>Buerck</t>
  </si>
  <si>
    <t>Buerck 2021</t>
  </si>
  <si>
    <t>10.1021/acs.est.0c08127</t>
  </si>
  <si>
    <t>eBD</t>
  </si>
  <si>
    <t>Lead toxicity with a new focus: Addressing low-level lead exposure in Canadian children</t>
  </si>
  <si>
    <t>Buka</t>
  </si>
  <si>
    <t>Buka 2019</t>
  </si>
  <si>
    <t>10.1093/pch/pxz080</t>
  </si>
  <si>
    <t>Baby lead the way: Mental health group work for infants, children and mothers affected family violence</t>
  </si>
  <si>
    <t>Bunston</t>
  </si>
  <si>
    <t>Bunston 2008</t>
  </si>
  <si>
    <t>10.5172/jfs.327.14.2-3.334</t>
  </si>
  <si>
    <t>The Role of Methylmercury Exposure in Neurodevelopmental and Neurodegenerative Disorders</t>
  </si>
  <si>
    <t>Burbacher</t>
  </si>
  <si>
    <t>Burbacher 2015</t>
  </si>
  <si>
    <t>10.1016/B978-0-12-800228-5.00006-6</t>
  </si>
  <si>
    <t>book chapter</t>
  </si>
  <si>
    <t>Cognitive performance among cohorts of children exposed to a waste disposal site containing heavy metals in Chile</t>
  </si>
  <si>
    <t>Burgos</t>
  </si>
  <si>
    <t>Burgos 2017</t>
  </si>
  <si>
    <t>10.1080/09603123.2017.1292494</t>
  </si>
  <si>
    <t>Spatial Analysis and Lead-Risk Assessment of Philadelphia, USA</t>
  </si>
  <si>
    <t>Caballero-Gomez</t>
  </si>
  <si>
    <t>Caballero-Gomez 2022</t>
  </si>
  <si>
    <t>10.1029/2021GH000519</t>
  </si>
  <si>
    <t>Impact of glucose metabolism on the developing brain</t>
  </si>
  <si>
    <t>Cacciatore</t>
  </si>
  <si>
    <t>Cacciatore 2022</t>
  </si>
  <si>
    <t>10.3389/fendo.2022.1047545</t>
  </si>
  <si>
    <t>Relationship between the prenatal exposure to low-level of mercury and the size of a newborn's cerebellum</t>
  </si>
  <si>
    <t>Cace</t>
  </si>
  <si>
    <t>Cace 2011</t>
  </si>
  <si>
    <t>10.1016/j.mehy.2010.12.005</t>
  </si>
  <si>
    <t>A Bayesian semiparametric approach with change points for spatial ordinal data</t>
  </si>
  <si>
    <t>Cai</t>
  </si>
  <si>
    <t>Cai 2016</t>
  </si>
  <si>
    <t>10.1177/0962280212463415</t>
  </si>
  <si>
    <t>Elevated lead levels from e-waste exposure are linked to sensory integration difficulties in preschool children</t>
  </si>
  <si>
    <t>Cai 2019</t>
  </si>
  <si>
    <t>10.1016/j.neuro.2019.01.004</t>
  </si>
  <si>
    <t>Impact of Lead Exposure on Thyroid Status and IQ Performance among School-age Children Living Nearby a Lead-Zinc Mine in China</t>
  </si>
  <si>
    <t>Cai 2021</t>
  </si>
  <si>
    <t>10.1016/j.neuro.2020.10.010</t>
  </si>
  <si>
    <t>Risk-benefit assessment of methylmercury and n-3 polyunsaturated fatty acids through fish intake by pregnant women in Shanghai, China: Findings from the Shanghai Diet and Health Survey</t>
  </si>
  <si>
    <t>Cai 2023</t>
  </si>
  <si>
    <t>10.1016/j.fct.2023.113668</t>
  </si>
  <si>
    <t>Developmental Neurotoxicity of Lead</t>
  </si>
  <si>
    <t>Caito</t>
  </si>
  <si>
    <t>Caito 2017</t>
  </si>
  <si>
    <t>10.1007/978-3-319-60189-2_1</t>
  </si>
  <si>
    <t>Pregnancy exposome and child psychomotor development in three European birth cohorts</t>
  </si>
  <si>
    <t>Calamandrei</t>
  </si>
  <si>
    <t>Calamandrei 2020</t>
  </si>
  <si>
    <t>10.1016/j.envres.2019.108856</t>
  </si>
  <si>
    <t>Pb, Hg</t>
  </si>
  <si>
    <t>Cost-benefit analysis for a lead wheel weight phase-out in Canada</t>
  </si>
  <si>
    <t>Campbell</t>
  </si>
  <si>
    <t>Campbell 2018</t>
  </si>
  <si>
    <t>10.1016/j.scitotenv.2018.04.414</t>
  </si>
  <si>
    <t>Screening for childhood lead poisoning in France from 1995 through 2002</t>
  </si>
  <si>
    <t>Canoui-Poitrine</t>
  </si>
  <si>
    <t>Canoui-Poitrine 2007</t>
  </si>
  <si>
    <t>10.1684/ers.2007.0115</t>
  </si>
  <si>
    <t>Postnatal cadmium exposure, neurodevelopment, and blood pressure in children at 2, 5, and 7 years of age</t>
  </si>
  <si>
    <t>Cao</t>
  </si>
  <si>
    <t>Cao 2009</t>
  </si>
  <si>
    <t>10.1289/ehp.0900765</t>
  </si>
  <si>
    <t>Does background postnatal methyl mercury exposure in toddlers affect cognition and behavior?</t>
  </si>
  <si>
    <t>Cao 2010</t>
  </si>
  <si>
    <t>10.1016/j.neuro.2009.10.017</t>
  </si>
  <si>
    <t>Linear BLL scale</t>
  </si>
  <si>
    <t>The burden of disease from pediatric lead exposure at hazardous waste sites in 7 Asian countries</t>
  </si>
  <si>
    <t>Caravanos</t>
  </si>
  <si>
    <t>Caravanos 2013</t>
  </si>
  <si>
    <t>10.1016/j.envres.2012.06.006</t>
  </si>
  <si>
    <t>Blood lead levels in Mexico and pediatric burden of disease implications</t>
  </si>
  <si>
    <t>Caravanos 2014</t>
  </si>
  <si>
    <t>10.1016/j.aogh.2014.08.002</t>
  </si>
  <si>
    <t>Maternal Immune Activation Induced by Prenatal Lipopolysaccharide Exposure Leads to Long-Lasting Autistic-like Social, Cognitive and Immune Alterations in Male Wistar Rats</t>
  </si>
  <si>
    <t>Carbone</t>
  </si>
  <si>
    <t>Carbone 2023</t>
  </si>
  <si>
    <t>10.3390/ijms24043920</t>
  </si>
  <si>
    <t>Differential DNA methylation in umbilical cord blood of infants exposed to mercury and arsenic in utero</t>
  </si>
  <si>
    <t>Cardenas</t>
  </si>
  <si>
    <t>Cardenas 2015</t>
  </si>
  <si>
    <t>10.1080/15592294.2015.1046026</t>
  </si>
  <si>
    <t>Persistent DNA methylation changes associated with prenatal mercury exposure and cognitive performance during childhood</t>
  </si>
  <si>
    <t>Cardenas 2017</t>
  </si>
  <si>
    <t>10.1038/s41598-017-00384-5</t>
  </si>
  <si>
    <t>Neurotoxicants, the Developing Brain, and Mental Health</t>
  </si>
  <si>
    <t>Cardenas-Iniguez</t>
  </si>
  <si>
    <t>Cardenas-Iniguez 2022</t>
  </si>
  <si>
    <t>10.1016/j.bpsgos.2022.05.002</t>
  </si>
  <si>
    <t>Portuguese preschool children: Benefit (EPA+DHA and Se) and risk (MeHg) assessment through the consumption of selected fish species</t>
  </si>
  <si>
    <t>Cardoso</t>
  </si>
  <si>
    <t>Cardoso 2018</t>
  </si>
  <si>
    <t>10.1016/j.fct.2018.03.022</t>
  </si>
  <si>
    <t>A blood lead benchmark for assessing risks from childhood lead exposure</t>
  </si>
  <si>
    <t>Carlisle</t>
  </si>
  <si>
    <t>Carlisle 2009</t>
  </si>
  <si>
    <t>10.1080/10934520903139829</t>
  </si>
  <si>
    <t>Thimerosal in childhood vaccines contributes to accumulating mercury toxicity in the kidney</t>
  </si>
  <si>
    <t>Carneiro</t>
  </si>
  <si>
    <t>Carneiro 2013</t>
  </si>
  <si>
    <t>10.1080/02772248.2013.877246</t>
  </si>
  <si>
    <t>Environmental contaminants and learning and memory</t>
  </si>
  <si>
    <t>Carpenter</t>
  </si>
  <si>
    <t>Carpenter 2006</t>
  </si>
  <si>
    <t>10.1016/j.ics.2005.11.064</t>
  </si>
  <si>
    <t xml:space="preserve">wrong population, wrong study design </t>
  </si>
  <si>
    <t>Environmental causes of violence</t>
  </si>
  <si>
    <t>Carpenter 2010</t>
  </si>
  <si>
    <t>10.1016/j.physbeh.2009.09.001</t>
  </si>
  <si>
    <t>wrong outcome, background article</t>
  </si>
  <si>
    <t>Toxic Metals: Lead</t>
  </si>
  <si>
    <t>Carrington</t>
  </si>
  <si>
    <t>Carrington 2014</t>
  </si>
  <si>
    <t>10.1016/B978-0-12-378612-8.00203-1</t>
  </si>
  <si>
    <t>Global burden of intellectual disability resulting from dietary exposure to lead, 2015</t>
  </si>
  <si>
    <t>Carrington 2019</t>
  </si>
  <si>
    <t>10.1016/j.envres.2019.02.023</t>
  </si>
  <si>
    <t>eBD/HIA, exposure data</t>
  </si>
  <si>
    <t>[Intellectual quotient and environmental exposure to low doses of lead]</t>
  </si>
  <si>
    <t>Carta</t>
  </si>
  <si>
    <t>Carta 2005</t>
  </si>
  <si>
    <t>Article in Italian - Quoziente Intellettivo ed esposizione ambientale a basse dosi di piombo</t>
  </si>
  <si>
    <t>[Intelligence and neurocognitive tests among students living in a industrialized region of Sardinia with relatively low blood levels of lead]</t>
  </si>
  <si>
    <t>Carta 2013</t>
  </si>
  <si>
    <t>Article in Italian - Quoziente Intellettivo e test neuro-cognitivi in studenti di un’area industrializzata della Sardegna con relativamente bassi livelli attuali di piombo ematico</t>
  </si>
  <si>
    <t>Low blood lead levels and neurocognitive testing among students living in a industrialized region of Sardinia, Italy</t>
  </si>
  <si>
    <t xml:space="preserve">duplicate </t>
  </si>
  <si>
    <t>Quantitative risk-benefit assessment of Portuguese fish and other seafood species consumption scenarios</t>
  </si>
  <si>
    <t>Carvalho</t>
  </si>
  <si>
    <t>Carvalho 2022</t>
  </si>
  <si>
    <t>10.1017/s0007114521004773</t>
  </si>
  <si>
    <t xml:space="preserve">eBD/HIA </t>
  </si>
  <si>
    <t>Fish consumption patterns and hair mercury levels in children and their mothers in 17 EU countries</t>
  </si>
  <si>
    <t>Castaño</t>
  </si>
  <si>
    <t>Castaño 2015</t>
  </si>
  <si>
    <t>10.1016/j.envres.2014.10.029</t>
  </si>
  <si>
    <t>wrong language</t>
  </si>
  <si>
    <t>exposure</t>
  </si>
  <si>
    <t>Human developmental neurotoxicity of methylmercury: impact of variables and risk modifiers</t>
  </si>
  <si>
    <t>Castoldi</t>
  </si>
  <si>
    <t>Castoldi 2008</t>
  </si>
  <si>
    <t>10.1016/j.yrtph.2008.01.016</t>
  </si>
  <si>
    <t>Neurodevelopmental toxicity of methylmercury: Laboratory animal data and their contribution to human risk assessment</t>
  </si>
  <si>
    <t>10.1016/j.yrtph.2008.03.005</t>
  </si>
  <si>
    <t>The role of mercury, selenium and the Se-Hg antagonism on cognitive neurodevelopment: A 40-month follow-up of the Italian mother-child PHIME cohort</t>
  </si>
  <si>
    <t>Castriotta</t>
  </si>
  <si>
    <t>Castriotta 2020</t>
  </si>
  <si>
    <t>10.1016/j.ijheh.2020.113604</t>
  </si>
  <si>
    <t xml:space="preserve">ERF update, exposure </t>
  </si>
  <si>
    <t>Addressing environmental contaminants in pediatric practice</t>
  </si>
  <si>
    <t>Catherine</t>
  </si>
  <si>
    <t>Catherine 2011</t>
  </si>
  <si>
    <t>10.1542/pir.32-5-190</t>
  </si>
  <si>
    <t>wrong population, wrong study design</t>
  </si>
  <si>
    <t>Expanding lead monitoring in support of epa's revised naaqs</t>
  </si>
  <si>
    <t>Cavender</t>
  </si>
  <si>
    <t>Cavender 2010</t>
  </si>
  <si>
    <t>Proton magnetic resonance spectroscopy in adults with childhood lead exposure</t>
  </si>
  <si>
    <t>Cecil</t>
  </si>
  <si>
    <t>Cecil 2011</t>
  </si>
  <si>
    <t>10.1289/ehp.1002176</t>
  </si>
  <si>
    <t>Prenatal methylmercury exposure and DNA methylation in seven-year-old children in the Seychelles Child Development Study</t>
  </si>
  <si>
    <t>Cediel Ulloa</t>
  </si>
  <si>
    <t>Cediel Ulloa 2021</t>
  </si>
  <si>
    <t>10.1016/j.envint.2020.106321</t>
  </si>
  <si>
    <t>Methylmercury-induced DNA methylation-From epidemiological observations to experimental evidence</t>
  </si>
  <si>
    <t>Cediel-Ulloa</t>
  </si>
  <si>
    <t>Cediel-Ulloa 2022</t>
  </si>
  <si>
    <t>10.3389/fgene.2022.993387</t>
  </si>
  <si>
    <t>Lead toxicity in school children of highly traffic dense area of Calcutta</t>
  </si>
  <si>
    <t>Chanda</t>
  </si>
  <si>
    <t>Chanda 2006</t>
  </si>
  <si>
    <t>Increased proliferation of late-born retinal progenitor cells by gestational lead exposure delays rod and bipolar cell differentiation</t>
  </si>
  <si>
    <t>Chaney</t>
  </si>
  <si>
    <t>Chaney 2016</t>
  </si>
  <si>
    <t>wrong outcome, wrong population</t>
  </si>
  <si>
    <t>Mercury Exposure in Healthy Korean Weaning-Age Infants: Association with Growth, Feeding and Fish Intake</t>
  </si>
  <si>
    <t>Chang</t>
  </si>
  <si>
    <t>Chang 2015</t>
  </si>
  <si>
    <t>10.3390/ijerph121114669</t>
  </si>
  <si>
    <t>The pediatric burden of disease from lead exposure at toxic waste sites in low and middle income countries</t>
  </si>
  <si>
    <t>Chatham-Stephens</t>
  </si>
  <si>
    <t>Chatham-Stephens 2014</t>
  </si>
  <si>
    <t>10.1016/j.envres.2014.04.018</t>
  </si>
  <si>
    <t>Cadmium exposures and deteriorations of cognitive abilities: estimation of a reference dose for mixture risk assessments based on a systematic review and confidence rating</t>
  </si>
  <si>
    <t>Chatterjee</t>
  </si>
  <si>
    <t>Chatterjee 2022</t>
  </si>
  <si>
    <t>10.1186/s12940-022-00881-9</t>
  </si>
  <si>
    <t>Human capital and substance use: A lifespan perspective</t>
  </si>
  <si>
    <t>Chawla</t>
  </si>
  <si>
    <t>Chawla 2017</t>
  </si>
  <si>
    <t>The status of chemical elements in the blood plasma of children with autism spectrum disorder in Tunisia: a case-control study</t>
  </si>
  <si>
    <t>Chehbani</t>
  </si>
  <si>
    <t>Chehbani 2020</t>
  </si>
  <si>
    <t>10.1007/s11356-020-09819-5</t>
  </si>
  <si>
    <t>IQ and blood lead from 2 to 7 years of age: are the effects in older children the residual of high blood lead concentrations in 2-year-olds?</t>
  </si>
  <si>
    <t>Chen</t>
  </si>
  <si>
    <t>Chen 2005</t>
  </si>
  <si>
    <t>10.1289/ehp.7625</t>
  </si>
  <si>
    <t>Maternal IQ, child IQ, behavior, and achievement in urban 5-7 year olds</t>
  </si>
  <si>
    <t>Chen 2006</t>
  </si>
  <si>
    <t>10.1203/01.pdr.0000199910.16681.f0</t>
  </si>
  <si>
    <t>Lead exposure, IQ, and behavior in urban 5- to 7-year-olds: does lead affect behavior only by lowering IQ?</t>
  </si>
  <si>
    <t>Chen 2007</t>
  </si>
  <si>
    <t>10.1542/peds.2006-1973</t>
  </si>
  <si>
    <t>wrong outcome (Decided May 2024 : ADHD out of scope)</t>
  </si>
  <si>
    <t>ADHD</t>
  </si>
  <si>
    <t>Wrong outcome</t>
  </si>
  <si>
    <t>Developmental neurotoxicants in e-waste: An emerging health concern</t>
  </si>
  <si>
    <t>Chen 2011</t>
  </si>
  <si>
    <t>10.1289/ehp.1002452</t>
  </si>
  <si>
    <t>Quantitative risk-benefit analysis of fish consumption for women of child-bearing age in Hong Kong</t>
  </si>
  <si>
    <t>Chen 2014</t>
  </si>
  <si>
    <t>10.1080/19440049.2013.855947</t>
  </si>
  <si>
    <t>Childrenâ€™s Exposure to Lead from Tap Water in Child Care Centers and Estimation of Blood Lead Levels</t>
  </si>
  <si>
    <t>Chen 2023</t>
  </si>
  <si>
    <t>10.1007/s12403-022-00493-1</t>
  </si>
  <si>
    <t>Improving autism perinatal risk factors: A systematic review</t>
  </si>
  <si>
    <t>Cheng</t>
  </si>
  <si>
    <t>Cheng 2019</t>
  </si>
  <si>
    <t>10.1016/j.mehy.2019.03.012</t>
  </si>
  <si>
    <t>review, ASD</t>
  </si>
  <si>
    <t>Attention-deficit hyperactivity disorder and blood mercury level: a case-control study in Chinese children</t>
  </si>
  <si>
    <t>Cheuk</t>
  </si>
  <si>
    <t>Cheuk 2006</t>
  </si>
  <si>
    <t>10.1055/s-2006-924577</t>
  </si>
  <si>
    <t>Qualitative assessment of visuospatial errors in mercury-exposed Amazonian children</t>
  </si>
  <si>
    <t>Chevrier</t>
  </si>
  <si>
    <t>Chevrier 2009</t>
  </si>
  <si>
    <t>10.1016/j.neuro.2008.09.012</t>
  </si>
  <si>
    <t>Blood lead levels and specific attention effects in young children</t>
  </si>
  <si>
    <t>Chiodo</t>
  </si>
  <si>
    <t>Chiodo 2007</t>
  </si>
  <si>
    <t>10.1016/j.ntt.2007.04.001</t>
  </si>
  <si>
    <t>No indication of uncertainty</t>
  </si>
  <si>
    <t>Associations between traffic-related black carbon exposure and attention in a prospective birth cohort of urban children</t>
  </si>
  <si>
    <t>Chiu</t>
  </si>
  <si>
    <t>Chiu 2013</t>
  </si>
  <si>
    <t>10.1289/ehp.1205940</t>
  </si>
  <si>
    <t>Effect of environmental exposure to lead and tobacco smoke on inattentive and hyperactive symptoms and neurocognitive performance in children</t>
  </si>
  <si>
    <t>Cho</t>
  </si>
  <si>
    <t>Cho 2010</t>
  </si>
  <si>
    <t>10.1111/j.1469-7610.2010.02250.x</t>
  </si>
  <si>
    <t>Neurodevelopment for the first three years following prenatal mobile phone use, radio frequency radiation and lead exposure</t>
  </si>
  <si>
    <t>Choi</t>
  </si>
  <si>
    <t>Choi 2017</t>
  </si>
  <si>
    <t>10.1016/j.envres.2017.04.029</t>
  </si>
  <si>
    <t>Altering the trajectory of early postnatal cortical development can lead to structural and behavioural features of autism</t>
  </si>
  <si>
    <t>Chomiak</t>
  </si>
  <si>
    <t>Chomiak 2010</t>
  </si>
  <si>
    <t>10.1186/1471-2202-11-102</t>
  </si>
  <si>
    <t>Linking Lysosomal Enzyme Targeting Genes and Energy Metabolism with Altered Gray Matter Volume in Children with Persistent Stuttering</t>
  </si>
  <si>
    <t>Chow</t>
  </si>
  <si>
    <t>Chow 2020</t>
  </si>
  <si>
    <t>10.1162/nol_a_00017</t>
  </si>
  <si>
    <t>Three unusual neuropathologic-related causes of sudden death</t>
  </si>
  <si>
    <t>Chute</t>
  </si>
  <si>
    <t>Chute 2008</t>
  </si>
  <si>
    <t>10.1111/j.1556-4029.2008.00696.x</t>
  </si>
  <si>
    <t>Estimation of dietary intake of cadmium and lead through food consumption</t>
  </si>
  <si>
    <t>Ciobanu</t>
  </si>
  <si>
    <t>Ciobanu 2012</t>
  </si>
  <si>
    <t>Psychological dysregulation, white matter disorganization and substance use disorders in adolescence</t>
  </si>
  <si>
    <t>Clark</t>
  </si>
  <si>
    <t>Clark 2012</t>
  </si>
  <si>
    <t>10.1111/j.1360-0443.2011.03566.x</t>
  </si>
  <si>
    <t>Methyl mercury: loaves versus fishes</t>
  </si>
  <si>
    <t>Clarkson</t>
  </si>
  <si>
    <t>Clarkson 2020</t>
  </si>
  <si>
    <t>10.1016/j.neuro.2020.09.018</t>
  </si>
  <si>
    <t>Optimizing Care for Pregnancy in Epilepsy: The Need to Address Anxiety and Depression Symptoms</t>
  </si>
  <si>
    <t>Clary</t>
  </si>
  <si>
    <t>Clary 2023</t>
  </si>
  <si>
    <t>10.1177/15357597221147349</t>
  </si>
  <si>
    <t>Chemical mixtures and children's health</t>
  </si>
  <si>
    <t>Claus Henn</t>
  </si>
  <si>
    <t>Claus Henn 2014</t>
  </si>
  <si>
    <t>10.1097/mop.0000000000000067</t>
  </si>
  <si>
    <t>review, mixtures</t>
  </si>
  <si>
    <t>Uncovering neurodevelopmental windows of susceptibility to manganese exposure using dentine microspatial analyses</t>
  </si>
  <si>
    <t>Claus Henn 2018</t>
  </si>
  <si>
    <t>10.1016/j.envres.2017.12.003</t>
  </si>
  <si>
    <t>Exposure to air pollution and cognitive functioning across the life course - A systematic literature review</t>
  </si>
  <si>
    <t>Clifford</t>
  </si>
  <si>
    <t>Clifford 2016</t>
  </si>
  <si>
    <t>10.1016/j.envres.2016.01.018</t>
  </si>
  <si>
    <t>WATER INFRASTRUCTURE AND CHILDHOOD BLOOD LEAD LEVELS: CHARACTERIZING THE EFFECTS OF EXCLUSION FROM MUNICIPAL SERVICES IN WAKE COUNTY (NC, USA)</t>
  </si>
  <si>
    <t>Clonch</t>
  </si>
  <si>
    <t>Clonch 2020</t>
  </si>
  <si>
    <t>A quantitative analysis of prenatal methyl mercury exposure and cognitive development</t>
  </si>
  <si>
    <t>Cohen</t>
  </si>
  <si>
    <t>Cohen 2005</t>
  </si>
  <si>
    <t>10.1016/j.amepre.2005.06.007</t>
  </si>
  <si>
    <t>A quantitative analysis of prenatal intake of n-3 polyunsaturated fatty acids and cognitive development</t>
  </si>
  <si>
    <t>10.1016/j.amepre.2005.06.008</t>
  </si>
  <si>
    <t>Immunological findings in autism</t>
  </si>
  <si>
    <t>Cohly</t>
  </si>
  <si>
    <t>Cohly 2005</t>
  </si>
  <si>
    <t>10.1016/s0074-7742(05)71013-8</t>
  </si>
  <si>
    <t>Assesment of fish intake in pregnant population in relation to exposure to methilmercury</t>
  </si>
  <si>
    <t>Conde Puertas</t>
  </si>
  <si>
    <t>Conde Puertas 2015</t>
  </si>
  <si>
    <t>10.12873/353conde</t>
  </si>
  <si>
    <t>[Long term consequences among children exposed to lead poisoning]</t>
  </si>
  <si>
    <t>Coria</t>
  </si>
  <si>
    <t>Coria 2009</t>
  </si>
  <si>
    <t>[Exposure to contaminants from coal-fired thermoelectric plants and children's health: What is the international and national evidence?]</t>
  </si>
  <si>
    <t>Cortés</t>
  </si>
  <si>
    <t>Cortés 2019</t>
  </si>
  <si>
    <t>10.32641/rchped.v90i1.748</t>
  </si>
  <si>
    <t>Factors related to health outcomes and health risk behaviors of adolescents with lead exposure. A pilot study</t>
  </si>
  <si>
    <t>Cossao-Torres</t>
  </si>
  <si>
    <t>Cossao-Torres 2013</t>
  </si>
  <si>
    <t>Mercury levels in urine and hair of children in an Andean gold-mining settlement</t>
  </si>
  <si>
    <t>Counter</t>
  </si>
  <si>
    <t>Counter 2005</t>
  </si>
  <si>
    <t>10.1179/oeh.2005.11.2.132</t>
  </si>
  <si>
    <t>Neurocognitive impairment in lead-exposed children of Andean lead-glazing workers</t>
  </si>
  <si>
    <t>10.1097/01.jom.0000155717.45594.65</t>
  </si>
  <si>
    <t>Integrating Selection and Risk Assessment of Chemical Mixtures: A Novel Approach Applied to a Breast Milk Survey</t>
  </si>
  <si>
    <t>Crépet</t>
  </si>
  <si>
    <t>Crépet 2022</t>
  </si>
  <si>
    <t>10.1289/EHP8262</t>
  </si>
  <si>
    <t>A statistical reevaluation of the data used in the Lanphear et al. (2005) pooled-analysis that related low levels of blood lead to intellectual deficits in children</t>
  </si>
  <si>
    <t>Crump</t>
  </si>
  <si>
    <t>Crump 2013</t>
  </si>
  <si>
    <t>10.3109/10408444.2013.832726</t>
  </si>
  <si>
    <t>Lanphear 2005</t>
  </si>
  <si>
    <t>Reanalysis of the Lanphear 2005 data</t>
  </si>
  <si>
    <t>Screening for Elevated Blood Lead Levels in Children and Pregnant Women: US Preventive Services Task Force Recommendation Statement</t>
  </si>
  <si>
    <t>Curry</t>
  </si>
  <si>
    <t>Curry 2019</t>
  </si>
  <si>
    <t>10.1001/jama.2019.3326</t>
  </si>
  <si>
    <t>Assessment of blood levels of heavy metals including lead and manganese in healthy children living in the Katanga settlement of Kampala, Uganda</t>
  </si>
  <si>
    <t>Cusick</t>
  </si>
  <si>
    <t>Cusick 2018</t>
  </si>
  <si>
    <t>10.1186/s12889-018-5589-0</t>
  </si>
  <si>
    <t xml:space="preserve">exposure data </t>
  </si>
  <si>
    <t>Prenatal Mercury Exposure and Neurodevelopment up to the Age of 5 Years: A Systematic Review</t>
  </si>
  <si>
    <t>Dack</t>
  </si>
  <si>
    <t>Dack 2022</t>
  </si>
  <si>
    <t>10.3390/ijerph19041976</t>
  </si>
  <si>
    <t>review, exposure data</t>
  </si>
  <si>
    <t>Maternal dental history, child's birth outcome and early cognitive development</t>
  </si>
  <si>
    <t>Daniels</t>
  </si>
  <si>
    <t>Daniels 2007</t>
  </si>
  <si>
    <t>10.1111/j.1365-3016.2007.00819.x</t>
  </si>
  <si>
    <t>wrong outcome, dental history, wrong exposure</t>
  </si>
  <si>
    <t>A comparison of blood and toenails as biomarkers of children's exposure to lead and their correlation with cognitive function</t>
  </si>
  <si>
    <t>Dantzer</t>
  </si>
  <si>
    <t>Dantzer 2020</t>
  </si>
  <si>
    <t>10.1016/j.scitotenv.2019.134519</t>
  </si>
  <si>
    <t>1H magnetic resonance spectroscopy metabolite profiles of neonatal rat hippocampus and brainstem regions following early postnatal exposure to intermittent hypoxia</t>
  </si>
  <si>
    <t>Darnall</t>
  </si>
  <si>
    <t>Darnall 2017</t>
  </si>
  <si>
    <t>10.1117/12.2255956</t>
  </si>
  <si>
    <t xml:space="preserve">wrong exposure, wrong population </t>
  </si>
  <si>
    <t>Moderate lead exposure elicits neurotrophic effects in cerebral cortical precursor cells in culture</t>
  </si>
  <si>
    <t>Davidovics</t>
  </si>
  <si>
    <t>Davidovics 2005</t>
  </si>
  <si>
    <t>10.1002/jnr.20539</t>
  </si>
  <si>
    <t>Methylmercury and neurodevelopment: longitudinal analysis of the Seychelles child development cohort</t>
  </si>
  <si>
    <t>Davidson</t>
  </si>
  <si>
    <t>Davidson 2006</t>
  </si>
  <si>
    <t>10.1016/j.ntt.2006.06.002</t>
  </si>
  <si>
    <t>Longitudinal analysis + stratified by sex</t>
  </si>
  <si>
    <t>Neurodevelopmental effects of maternal nutritional status and exposure to methylmercury from eating fish during pregnancy</t>
  </si>
  <si>
    <t>Davidson 2008</t>
  </si>
  <si>
    <t>10.1016/j.neuro.2008.06.001</t>
  </si>
  <si>
    <t>Association between prenatal exposure to methylmercury and visuospatial ability at 10.7 years in the seychelles child development study</t>
  </si>
  <si>
    <t>10.1016/j.neuro.2008.02.009</t>
  </si>
  <si>
    <t>wrong outcome, wrong outcome</t>
  </si>
  <si>
    <t>Fish consumption, mercury exposure, and their associations with scholastic achievement in the Seychelles Child Development Study</t>
  </si>
  <si>
    <t>Davidson 2010</t>
  </si>
  <si>
    <t>10.1016/j.neuro.2010.05.010</t>
  </si>
  <si>
    <t>Neurodevelopmental Effects of Maternal Nutrition Status and Exposure to Methyl Mercury from Eating Fish During Pregnancy: Evidence from the Seychelles Child Development Study</t>
  </si>
  <si>
    <t>10.1002/9780470917060.ch16</t>
  </si>
  <si>
    <t xml:space="preserve">wrong study design, wrong publication type </t>
  </si>
  <si>
    <t>Fish consumption and prenatal methylmercury exposure: cognitive and behavioral outcomes in the main cohort at 17 years from the Seychelles child development study</t>
  </si>
  <si>
    <t>Davidson 2011</t>
  </si>
  <si>
    <t>10.1016/j.neuro.2011.08.003</t>
  </si>
  <si>
    <t>Behavior only</t>
  </si>
  <si>
    <t>Foodborne exposure to pesticides and methylmercury in the United Arab Emirates</t>
  </si>
  <si>
    <t>Davidson 2012</t>
  </si>
  <si>
    <t>10.1111/j.1539-6924.2011.01679.x</t>
  </si>
  <si>
    <t>exposure, wrong setting, wrong exposure</t>
  </si>
  <si>
    <t>Principles of studying low-level neurotoxic exposures in children: using the Seychelles Child Development Study of methyl mercury as a prototype</t>
  </si>
  <si>
    <t>Davidson 2020</t>
  </si>
  <si>
    <t>10.1016/j.neuro.2020.09.022</t>
  </si>
  <si>
    <t>Identifying natural and anthropogenic sources of metals in urban and rural soils using GIS-based data, PCA, and spatial interpolation</t>
  </si>
  <si>
    <t>Davis</t>
  </si>
  <si>
    <t>Davis 2009</t>
  </si>
  <si>
    <t>10.1016/j.envpol.2009.03.021</t>
  </si>
  <si>
    <t>exposure, wrong study design</t>
  </si>
  <si>
    <t>Prenatal Exposure to Metals and Neurodevelopment in Infants at Six Months: Rio Birth Cohort Study of Environmental Exposure and Childhood Development (PIPA Project)</t>
  </si>
  <si>
    <t>de Assis Araujo</t>
  </si>
  <si>
    <t>de Assis Araujo 2022</t>
  </si>
  <si>
    <t>10.3390/ijerph19074295</t>
  </si>
  <si>
    <t>Multifactorial Origin of Neurodevelopmental Disorders: Approaches to Understanding Complex Etiologies</t>
  </si>
  <si>
    <t>De Felice</t>
  </si>
  <si>
    <t>De Felice 2015</t>
  </si>
  <si>
    <t>10.3390/toxics3010089</t>
  </si>
  <si>
    <t xml:space="preserve">wrong population </t>
  </si>
  <si>
    <t>Poor psychometric scores of children living in isolated riverine and agrarian communities and fish-methylmercury exposure</t>
  </si>
  <si>
    <t>de Fonseca</t>
  </si>
  <si>
    <t>de Fonseca 2008</t>
  </si>
  <si>
    <t>10.1016/j.neuro.2008.07.001</t>
  </si>
  <si>
    <t>Occurrence and determination of inorganic contaminants in baby food and infant formula</t>
  </si>
  <si>
    <t>de Paiva</t>
  </si>
  <si>
    <t>de Paiva 2019</t>
  </si>
  <si>
    <t>10.1016/j.cofs.2019.05.006</t>
  </si>
  <si>
    <t>Neurocognitive consequences of a paediatric brain tumour and its treatment: A meta-analysis</t>
  </si>
  <si>
    <t>De Ruiter</t>
  </si>
  <si>
    <t>De Ruiter 2013</t>
  </si>
  <si>
    <t>10.1111/dmcn.12020</t>
  </si>
  <si>
    <t>Prenatal metal mixture concentrations and reward motivation in children</t>
  </si>
  <si>
    <t>de Water</t>
  </si>
  <si>
    <t>de Water 2022</t>
  </si>
  <si>
    <t>10.1016/j.neuro.2021.11.008</t>
  </si>
  <si>
    <t>Cognitive deficits at age 22 years associated with prenatal exposure to methylmercury</t>
  </si>
  <si>
    <t>Debes</t>
  </si>
  <si>
    <t>Debes 2016</t>
  </si>
  <si>
    <t>10.1016/j.cortex.2015.05.017</t>
  </si>
  <si>
    <t>Metabolic association between the gut-brain axis in autism spectrum disorders</t>
  </si>
  <si>
    <t>Delgado</t>
  </si>
  <si>
    <t>Delgado 2017</t>
  </si>
  <si>
    <t>10.1007/978-3-319-53126-7_33</t>
  </si>
  <si>
    <t>Lead Exposure and Developmental Disabilities in Preschool-Aged Children</t>
  </si>
  <si>
    <t>Delgado 2018</t>
  </si>
  <si>
    <t>10.1097/phh.0000000000000556</t>
  </si>
  <si>
    <t>wrong outcome (Decided May 2024 : ASD out of scope)</t>
  </si>
  <si>
    <t>ASD</t>
  </si>
  <si>
    <t>[Interrater reliability of the Bayley III test in the Italian Northern-Adriatic Cohort II]</t>
  </si>
  <si>
    <t>Deroma</t>
  </si>
  <si>
    <t>Deroma 2013</t>
  </si>
  <si>
    <t>Neuropsychological assessment at school-age and prenatal low-level exposure to mercury through fish consumption in an Italian birth cohort living near a contaminated site</t>
  </si>
  <si>
    <t>10.1016/j.ijheh.2013.02.004</t>
  </si>
  <si>
    <t>ERF update, exposure data</t>
  </si>
  <si>
    <t>Neurobehavioral effects of dental amalgam in children: a randomized clinical trial</t>
  </si>
  <si>
    <t>DeRouen</t>
  </si>
  <si>
    <t>DeRouen 2006</t>
  </si>
  <si>
    <t>10.1001/jama.295.15.1784</t>
  </si>
  <si>
    <t>Analysis of polymorphisms in genes involved in folate metabolism and its impact on Down syndrome and other intellectual disability</t>
  </si>
  <si>
    <t>Desai</t>
  </si>
  <si>
    <t>Desai 2017</t>
  </si>
  <si>
    <t>10.1016/j.mgene.2017.07.013</t>
  </si>
  <si>
    <t>Prediction of children's blood lead levels from exposure to lead in schools' drinkingwater-A case study in Tennessee, USA</t>
  </si>
  <si>
    <t>DeSimone</t>
  </si>
  <si>
    <t>DeSimone 2020</t>
  </si>
  <si>
    <t>10.3390/w12061826</t>
  </si>
  <si>
    <t>Prenatal, concurrent, and sex-specific associations between blood lead concentrations and IQ in preschool Canadian children</t>
  </si>
  <si>
    <t>Desrochers-Couture</t>
  </si>
  <si>
    <t>Desrochers-Couture 2018</t>
  </si>
  <si>
    <t>10.1016/j.envint.2018.10.043</t>
  </si>
  <si>
    <t>Bayesian kernel machine regression-causal mediation analysis</t>
  </si>
  <si>
    <t>Devick</t>
  </si>
  <si>
    <t>Devick 2022</t>
  </si>
  <si>
    <t>10.1002/sim.9255</t>
  </si>
  <si>
    <t>Autism spectrum disorder prevalence and associations with air concentrations of lead, mercury, and arsenic</t>
  </si>
  <si>
    <t>Dickerson</t>
  </si>
  <si>
    <t>Dickerson 2016</t>
  </si>
  <si>
    <t>10.1007/s10661-016-5405-1</t>
  </si>
  <si>
    <t>Prenatal and early childhood exposure to mercury and methylmercury in Spain, a high-fish-consumer country</t>
  </si>
  <si>
    <t>Diez</t>
  </si>
  <si>
    <t>Diez 2009</t>
  </si>
  <si>
    <t>10.1007/s00244-008-9213-7</t>
  </si>
  <si>
    <t>Control of Lead Sources in the United States, 1970-2017: Public Health Progress and Current Challenges to Eliminating Lead Exposure</t>
  </si>
  <si>
    <t>Dignam</t>
  </si>
  <si>
    <t>Dignam 2019</t>
  </si>
  <si>
    <t>10.1097/phh.0000000000000889</t>
  </si>
  <si>
    <t>Evaluation of Pb concentrations in selected vegetables and portable drinking water, and intelligent quotients of school children in Ishiagu-a Pb mining community: health risk assessment using predictive modelling</t>
  </si>
  <si>
    <t>Dike</t>
  </si>
  <si>
    <t>Dike 2020</t>
  </si>
  <si>
    <t>10.1007/s10661-020-8071-2</t>
  </si>
  <si>
    <t>The relation between blood lead and mercury levels and chronic neurological diseases in children</t>
  </si>
  <si>
    <t>Dikme</t>
  </si>
  <si>
    <t>Dikme 2013</t>
  </si>
  <si>
    <t>10.4274/tpa.296</t>
  </si>
  <si>
    <t>Cognitive deficits and ALA-D-inhibition in children exposed to multiple metals</t>
  </si>
  <si>
    <t>do Nascimento</t>
  </si>
  <si>
    <t>do Nascimento 2015</t>
  </si>
  <si>
    <t>10.1016/j.envres.2014.10.003</t>
  </si>
  <si>
    <t>Periconceptional and prenatal exposure to metal mixtures in relation to behavioral development at 3 years of age</t>
  </si>
  <si>
    <t>Doherty</t>
  </si>
  <si>
    <t>Doherty 2020</t>
  </si>
  <si>
    <t>10.1097/ee9.0000000000000106</t>
  </si>
  <si>
    <t>Iron requirements, absorption and metabolism in infancy and childhood</t>
  </si>
  <si>
    <t>Domellöf</t>
  </si>
  <si>
    <t>Domellöf 2007</t>
  </si>
  <si>
    <t>10.1097/MCO.0b013e3280523aaf</t>
  </si>
  <si>
    <t>Environmental contaminants and human health in the Canadian Arctic</t>
  </si>
  <si>
    <t>Donaldson</t>
  </si>
  <si>
    <t>Donaldson 2010</t>
  </si>
  <si>
    <t>10.1016/j.scitotenv.2010.04.059</t>
  </si>
  <si>
    <t>Health risk assessment for children due to lead exposure in some region of China</t>
  </si>
  <si>
    <t>Dong</t>
  </si>
  <si>
    <t>Dong 2011</t>
  </si>
  <si>
    <t>Exposure to mercury during the first six months via human milk and vaccines: modifying risk factors</t>
  </si>
  <si>
    <t>Dorea</t>
  </si>
  <si>
    <t>Dorea 2007</t>
  </si>
  <si>
    <t>10.1055/s-2007-982074</t>
  </si>
  <si>
    <t>Making sense of epidemiological studies of young children exposed to thimerosal in vaccines</t>
  </si>
  <si>
    <t>Dorea 2010</t>
  </si>
  <si>
    <t>10.1016/j.cca.2010.07.008</t>
  </si>
  <si>
    <t>Research into mercury exposure and health education in subsistence fish-eating communities of the Amazon basin: potential effects on public health policy</t>
  </si>
  <si>
    <t>10.3390/ijerph7093467</t>
  </si>
  <si>
    <t>Integrating experimental (in vitro and in vivo) neurotoxicity studies of low-dose thimerosal relevant to vaccines</t>
  </si>
  <si>
    <t>Dorea 2011</t>
  </si>
  <si>
    <t>10.1007/s11064-011-0427-0</t>
  </si>
  <si>
    <t>wrong exposure, wrong population, wrong study design</t>
  </si>
  <si>
    <t>Neurodevelopment of Amazonian infants: antenatal and postnatal exposure to methyl- and ethylmercury</t>
  </si>
  <si>
    <t>Dorea 2012</t>
  </si>
  <si>
    <t>10.1155/2012/132876</t>
  </si>
  <si>
    <t>Re: "prenatal exposure to mercury and infant neurodevelopment in a multicenter cohort in Spain: study of potential modifiers"</t>
  </si>
  <si>
    <t>10.1093/aje/kws386</t>
  </si>
  <si>
    <t>wrong study design, wrong publication type</t>
  </si>
  <si>
    <t>Low-dose mercury exposure in early life: relevance of thimerosal to fetuses, newborns and infants</t>
  </si>
  <si>
    <t>Dorea 2013</t>
  </si>
  <si>
    <t>10.2174/09298673113209990229</t>
  </si>
  <si>
    <t>Chemical mixtures, maternal exposure and infant neurodevelopment: Did we miss positive (breastfeeding) and negative (mercury) confounders?</t>
  </si>
  <si>
    <t>Dorea 2014</t>
  </si>
  <si>
    <t>10.1016/j.ntt.2014.06.006</t>
  </si>
  <si>
    <t>Milestone achievement and neurodevelopment of rural Amazonian toddlers (12 to 24 months) with different methylmercury and ethylmercury exposure</t>
  </si>
  <si>
    <t>10.1080/15287394.2014.861335</t>
  </si>
  <si>
    <t>Mercury levels and human health in the Amazon Basin</t>
  </si>
  <si>
    <t>Dorea 2016</t>
  </si>
  <si>
    <t>10.1080/03014460.2016.1192682</t>
  </si>
  <si>
    <t>Abating Mercury Exposure in Young Children Should Include Thimerosal-Free Vaccines</t>
  </si>
  <si>
    <t>Dorea 2017</t>
  </si>
  <si>
    <t>10.1007/s11064-017-2277-x</t>
  </si>
  <si>
    <t>study design, wrong exposure</t>
  </si>
  <si>
    <t>Low-dose Thimerosal in pediatric vaccines: Adverse effects in perspective</t>
  </si>
  <si>
    <t>10.1016/j.envres.2016.10.028</t>
  </si>
  <si>
    <t>Environmental exposure to low-level lead (Pb) co-occurring with other neurotoxicants in early life and neurodevelopment of children</t>
  </si>
  <si>
    <t>Dorea 2019</t>
  </si>
  <si>
    <t>10.1016/j.envres.2019.108641</t>
  </si>
  <si>
    <t>Multiple low-level exposures: Hg interactions with co-occurring neurotoxic substances in early life</t>
  </si>
  <si>
    <t>10.1016/j.bbagen.2018.10.015</t>
  </si>
  <si>
    <t>Neurotoxic effects of combined exposures to aluminum and mercury in early life (infancy)</t>
  </si>
  <si>
    <t>Dorea 2020</t>
  </si>
  <si>
    <t>10.1016/j.envres.2020.109734</t>
  </si>
  <si>
    <t>Exposure to environmental neurotoxic substances and neurodevelopment in children from Latin America and the Caribbean</t>
  </si>
  <si>
    <t>Dorea 2021</t>
  </si>
  <si>
    <t>10.1016/j.envres.2020.110199</t>
  </si>
  <si>
    <t>Neurodevelopment and exposure to neurotoxic metal(loid)s in environments polluted by mining, metal scrapping and smelters, and e-waste recycling in low and middle-income countries</t>
  </si>
  <si>
    <t>10.1016/j.envres.2021.111124</t>
  </si>
  <si>
    <t>Effects of substance use on neural development</t>
  </si>
  <si>
    <t>dos Passos</t>
  </si>
  <si>
    <t>dos Passos 2021</t>
  </si>
  <si>
    <t>10.1007/978-3-030-62855-0_10</t>
  </si>
  <si>
    <t>Review of Potentially Toxic Rare Earth Elements, Thallium and Tellurium in Plant-based Foods</t>
  </si>
  <si>
    <t>Doulgeridou</t>
  </si>
  <si>
    <t>Doulgeridou 2020</t>
  </si>
  <si>
    <t>10.2903/j.efsa.2020.e181101</t>
  </si>
  <si>
    <t>Fish consumption during pregnancy: an overview of the risks and benefits</t>
  </si>
  <si>
    <t>Dovydaitis</t>
  </si>
  <si>
    <t>Dovydaitis 2008</t>
  </si>
  <si>
    <t>10.1016/j.jmwh.2008.02.014</t>
  </si>
  <si>
    <t>Mild prenatal hypoxia-ischemia leads to social deficits and central and peripheral inflammation in exposed offspring</t>
  </si>
  <si>
    <t>Driscoll</t>
  </si>
  <si>
    <t>Driscoll 2018</t>
  </si>
  <si>
    <t>10.1016/j.bbi.2018.01.001</t>
  </si>
  <si>
    <t>Are toxic biometals destroying your children's future?</t>
  </si>
  <si>
    <t>Drum</t>
  </si>
  <si>
    <t>Drum 2009</t>
  </si>
  <si>
    <t>10.1007/s10534-009-9212-9</t>
  </si>
  <si>
    <t>Review: Polycyclic aromatic hydrocarbons (PAHs) : Action on placental function and health risks in future life of newborns</t>
  </si>
  <si>
    <t>Drwal</t>
  </si>
  <si>
    <t>Drwal 2019</t>
  </si>
  <si>
    <t>10.1016/j.tox.2018.10.003</t>
  </si>
  <si>
    <t>Mercury exposure, nutritional deficiencies and metabolic disruptions may affect learning in children</t>
  </si>
  <si>
    <t>Dufault</t>
  </si>
  <si>
    <t>Dufault 2009</t>
  </si>
  <si>
    <t>10.1186/1744-9081-5-44</t>
  </si>
  <si>
    <t>A macroepigenetic approach to identify factors responsible for the autism epidemic in the United States</t>
  </si>
  <si>
    <t>Dufault 2012</t>
  </si>
  <si>
    <t>10.1186/1868-7083-4-6</t>
  </si>
  <si>
    <t>Connecting inorganic mercury and lead measurements in blood to dietary sources of exposure that may impact child development</t>
  </si>
  <si>
    <t>Dufault 2021</t>
  </si>
  <si>
    <t>10.5662/wjm.v11.i4.144</t>
  </si>
  <si>
    <t>Higher rates of autism and attention deficit/hyperactivity disorder in American children: Are food quality issues impacting epigenetic inheritance?</t>
  </si>
  <si>
    <t>Dufault 2023</t>
  </si>
  <si>
    <t>10.5409/wjcp.v12.i2.25</t>
  </si>
  <si>
    <t>Administration of thimerosal to infant rats increases overflow of glutamate and aspartate in the prefrontal cortex: protective role of dehydroepiandrosterone sulfate</t>
  </si>
  <si>
    <t>Duszczyk-Budhathoki</t>
  </si>
  <si>
    <t>Duszczyk-Budhathoki 2012</t>
  </si>
  <si>
    <t>10.1007/s11064-011-0630-z</t>
  </si>
  <si>
    <t>Wrong exposure, wrong population</t>
  </si>
  <si>
    <t>Geochemical multi-element ICP-OES analysis of borehole waters from SE Anatolia</t>
  </si>
  <si>
    <t>Duz</t>
  </si>
  <si>
    <t>Duz 2016</t>
  </si>
  <si>
    <t>Neurophysiologic measures of auditory function in fish consumers: associations with long chain polyunsaturated fatty acids and methylmercury</t>
  </si>
  <si>
    <t>Dziorny</t>
  </si>
  <si>
    <t>Dziorny 2013</t>
  </si>
  <si>
    <t>10.1016/j.neuro.2012.10.002</t>
  </si>
  <si>
    <t>exposure, wrong outcome</t>
  </si>
  <si>
    <t>Prenatal chemical exposures and child language development</t>
  </si>
  <si>
    <t>Dzwilewski</t>
  </si>
  <si>
    <t>Dzwilewski 2015</t>
  </si>
  <si>
    <t>10.1016/j.jcomdis.2015.07.002</t>
  </si>
  <si>
    <t>Review</t>
  </si>
  <si>
    <t>Mercury and neurodevelopmental disorders in children: A systematic review</t>
  </si>
  <si>
    <t>Ealo Tapia</t>
  </si>
  <si>
    <t>Ealo Tapia 2023</t>
  </si>
  <si>
    <t>10.5546/aap.2022-02838.eng</t>
  </si>
  <si>
    <t>Low-level environmental lead exposure still negatively associated with children's cognitive abilities</t>
  </si>
  <si>
    <t>Earl</t>
  </si>
  <si>
    <t>Earl 2016</t>
  </si>
  <si>
    <t>10.1111/ajpy.12096</t>
  </si>
  <si>
    <t>Lead poisoning crisis goes beyond flint</t>
  </si>
  <si>
    <t>Eastman</t>
  </si>
  <si>
    <t>Eastman 2016</t>
  </si>
  <si>
    <t>Congenital disorders of autophagy: An emerging novel class of inborn errors of neuro-metabolism</t>
  </si>
  <si>
    <t>Ebrahimi-Fakhari</t>
  </si>
  <si>
    <t>Ebrahimi-Fakhari 2016</t>
  </si>
  <si>
    <t>10.1093/brain/awv371</t>
  </si>
  <si>
    <t>Wrong outcome, wrong outcome</t>
  </si>
  <si>
    <t>Iron deficiency and impaired cognition in toddlers: an underestimated and undertreated problem</t>
  </si>
  <si>
    <t>Eden</t>
  </si>
  <si>
    <t>Eden 2005</t>
  </si>
  <si>
    <t>10.2165/00148581-200507060-00003</t>
  </si>
  <si>
    <t>Prenatal exposure to airborne polycyclic aromatic hydrocarbons and children's intelligence at 5 years of age in a prospective cohort study in Poland</t>
  </si>
  <si>
    <t>Edwards</t>
  </si>
  <si>
    <t>Edwards 2010</t>
  </si>
  <si>
    <t>10.1289/ehp.0901070</t>
  </si>
  <si>
    <t>The role of fingernail selenium in the association between arsenic, lead and mercury and child development in rural Vietnam: a cross-sectional analysis</t>
  </si>
  <si>
    <t>Egwunye</t>
  </si>
  <si>
    <t>Egwunye 2022</t>
  </si>
  <si>
    <t>10.1017/s0007114522001374</t>
  </si>
  <si>
    <t>Predictive value of selected biomarkers related to metabolism and oxidative stress in children with autism spectrum disorder</t>
  </si>
  <si>
    <t>El-Ansary</t>
  </si>
  <si>
    <t>El-Ansary 2017</t>
  </si>
  <si>
    <t>10.1007/s11011-017-0029-x</t>
  </si>
  <si>
    <t>Relationship between selenium, lead, and mercury in red blood cells of Saudi autistic children</t>
  </si>
  <si>
    <t>10.1007/s11011-017-9996-1</t>
  </si>
  <si>
    <t>Wrong setting, wrong study design</t>
  </si>
  <si>
    <t>Study of some biomarkers in hair of children with autism</t>
  </si>
  <si>
    <t>Elsheshtawy</t>
  </si>
  <si>
    <t>Elsheshtawy 2011</t>
  </si>
  <si>
    <t>10.1097/01.XME.0000392842.64112.64</t>
  </si>
  <si>
    <t>Correlation of Lead Poisoning and Intelligence Status of School Children in a Southern Nigerian Urban City</t>
  </si>
  <si>
    <t>Emeagui</t>
  </si>
  <si>
    <t>Emeagui 2022</t>
  </si>
  <si>
    <t>Very descriptive, no investigation of an association</t>
  </si>
  <si>
    <t>GC-MS-based urine metabolic profiling of autism spectrum disorders</t>
  </si>
  <si>
    <t>Emond</t>
  </si>
  <si>
    <t>Emond 2013</t>
  </si>
  <si>
    <t>10.1007/s00216-013-6934-x</t>
  </si>
  <si>
    <t>Polymorphisms in ATP-binding cassette transporters associated with maternal methylmercury disposition and infant neurodevelopment in mother-infant pairs in the Seychelles Child Development Study</t>
  </si>
  <si>
    <t>Engström</t>
  </si>
  <si>
    <t>Engström 2016</t>
  </si>
  <si>
    <t>10.1016/j.envint.2016.05.027</t>
  </si>
  <si>
    <t>A meta-analysis of blood lead levels in India and the attributable burden of disease</t>
  </si>
  <si>
    <t>Ericson</t>
  </si>
  <si>
    <t>Ericson 2018</t>
  </si>
  <si>
    <t>10.1016/j.envint.2018.08.047</t>
  </si>
  <si>
    <t>Neurobehavioral and oxidative stress alterations following methylmercury and retinyl palmitate co-administration in pregnant and lactating rats and their offspring</t>
  </si>
  <si>
    <t>Espitia-Pérez</t>
  </si>
  <si>
    <t>Espitia-Pérez 2018</t>
  </si>
  <si>
    <t>10.1016/j.neuro.2018.10.004</t>
  </si>
  <si>
    <t>[Intelligence quotient loss in Mexican pottery artisan's children]</t>
  </si>
  <si>
    <t>Estrada-Sánchez</t>
  </si>
  <si>
    <t>Estrada-Sánchez 2017</t>
  </si>
  <si>
    <t>Environmental Assessment and Blood Lead Levels of Children in Owino Uhuru and Bangladesh Settlements in Kenya</t>
  </si>
  <si>
    <t>Etiang</t>
  </si>
  <si>
    <t>Etiang 2018</t>
  </si>
  <si>
    <t>10.5696/2156-9614-8.18.180605</t>
  </si>
  <si>
    <t>Dietary calcium supplementation to lower blood lead levels in pregnancy and lactation</t>
  </si>
  <si>
    <t>Ettinger</t>
  </si>
  <si>
    <t>Ettinger 2007</t>
  </si>
  <si>
    <t>10.1016/j.jnutbio.2006.12.007</t>
  </si>
  <si>
    <t>Fish Consumption, Mercury Intake, and the Associated Risks to the Kuwaiti Population</t>
  </si>
  <si>
    <t>Evans</t>
  </si>
  <si>
    <t>Evans 2012</t>
  </si>
  <si>
    <t>10.1080/10807039.2012.710473</t>
  </si>
  <si>
    <t>Heavy metals exposure on Urbanized and Industrial polluted territories and Effects on Functional State of Systems of different cohorts of population in Crimean region of Ukraine</t>
  </si>
  <si>
    <t>Evstafyeva</t>
  </si>
  <si>
    <t>Evstafyeva 2013</t>
  </si>
  <si>
    <t>10.1051/e3sconf/20130121002</t>
  </si>
  <si>
    <t>Lead exposure through consumption of big game meat in Quebec, Canada: risk assessment and perception</t>
  </si>
  <si>
    <t>Fachehoun</t>
  </si>
  <si>
    <t>Fachehoun 2015</t>
  </si>
  <si>
    <t>10.1080/19440049.2015.1071921</t>
  </si>
  <si>
    <t>Methylmercury exposure during prenatal and postnatal neurodevelopment promotes oxidative stress associated with motor and cognitive damages in rats: an environmental-experimental toxicology study</t>
  </si>
  <si>
    <t>Fagundes</t>
  </si>
  <si>
    <t>Fagundes 2022</t>
  </si>
  <si>
    <t>10.1016/j.toxrep.2022.02.014</t>
  </si>
  <si>
    <t>Fetal exposure to mercury and lead from intrauterine blood transfusions</t>
  </si>
  <si>
    <t>Falck</t>
  </si>
  <si>
    <t>Falck 2019</t>
  </si>
  <si>
    <t>10.1038/s41390-019-0463-z</t>
  </si>
  <si>
    <t>Prenatal Co-Exposure to Manganese, Mercury, and Lead, and Neurodevelopment in Children during the First Year of Life</t>
  </si>
  <si>
    <t>Farias</t>
  </si>
  <si>
    <t>Farias 2022</t>
  </si>
  <si>
    <t>10.3390/ijerph192013020</t>
  </si>
  <si>
    <t>Metabotropic glutamate receptor 5 upregulation in children with autism is associated with underexpression of both Fragile X mental retardation protein and GABAA receptor beta 3 in adults with autism</t>
  </si>
  <si>
    <t>Fatemi</t>
  </si>
  <si>
    <t>Fatemi 2011</t>
  </si>
  <si>
    <t>10.1002/ar.21299</t>
  </si>
  <si>
    <t>Modeling of lead concentrations and hot spots at general aviation airports</t>
  </si>
  <si>
    <t>Feinberg</t>
  </si>
  <si>
    <t>Feinberg 2016</t>
  </si>
  <si>
    <t>10.3141/2569-09</t>
  </si>
  <si>
    <t>exposure, wrong population</t>
  </si>
  <si>
    <t>Impact of low-level mercury exposure on intelligence quotient in children via rice consumption</t>
  </si>
  <si>
    <t>Feng</t>
  </si>
  <si>
    <t>Feng 2020</t>
  </si>
  <si>
    <t>10.1016/j.ecoenv.2020.110870</t>
  </si>
  <si>
    <t>Mercury pollution in China: implications on the implementation of the Minamata Convention</t>
  </si>
  <si>
    <t>Feng 2022</t>
  </si>
  <si>
    <t>10.1039/d2em00039c</t>
  </si>
  <si>
    <t>U.S. Food and Drug Administration's interim reference levels for dietary lead exposure in children and women of childbearing age</t>
  </si>
  <si>
    <t>Flannery</t>
  </si>
  <si>
    <t>Flannery 2020</t>
  </si>
  <si>
    <t>10.1016/j.yrtph.2019.104516</t>
  </si>
  <si>
    <t>Updated interim reference levels for dietary lead to support FDA's Closer to Zero action plan</t>
  </si>
  <si>
    <t>Flannery 2022</t>
  </si>
  <si>
    <t>10.1016/j.yrtph.2022.105202</t>
  </si>
  <si>
    <t>Hair mercury levels, fish consumption, and cognitive development in preschool children from Granada, Spain</t>
  </si>
  <si>
    <t>Freire</t>
  </si>
  <si>
    <t>Freire 2010</t>
  </si>
  <si>
    <t>10.1016/j.envres.2009.10.005</t>
  </si>
  <si>
    <t>Prenatal co-exposure to neurotoxic metals and neurodevelopment in preschool children: The Environment and Childhood (INMA) Project</t>
  </si>
  <si>
    <t>Freire 2018</t>
  </si>
  <si>
    <t>10.1016/j.scitotenv.2017.11.273</t>
  </si>
  <si>
    <t>exposure data, ERF update</t>
  </si>
  <si>
    <t>Association of placental concentrations of phenolic endocrine disrupting chemicals with cognitive functioning in preschool children from the Environment and Childhood (INMA) Project</t>
  </si>
  <si>
    <t>Freire 2020</t>
  </si>
  <si>
    <t>10.1016/j.ijheh.2020.113597</t>
  </si>
  <si>
    <t>Prenatal lead exposure and childhood executive function and behavioral difficulties in project viva</t>
  </si>
  <si>
    <t>Fruh</t>
  </si>
  <si>
    <t>Fruh 2019</t>
  </si>
  <si>
    <t>10.1016/j.neuro.2019.09.006</t>
  </si>
  <si>
    <t>Early life metal exposure dysregulates cellular bioenergetics in children with regressive autism spectrum disorder</t>
  </si>
  <si>
    <t>Frye</t>
  </si>
  <si>
    <t>Frye 2020</t>
  </si>
  <si>
    <t>10.1038/s41398-020-00905-3</t>
  </si>
  <si>
    <t>Human health impacts of exposure to metals through extreme consumption of fish from the Colombian Caribbean Sea</t>
  </si>
  <si>
    <t>Fuentes-Gandara</t>
  </si>
  <si>
    <t>Fuentes-Gandara 2018</t>
  </si>
  <si>
    <t>10.1007/s10653-016-9896-z</t>
  </si>
  <si>
    <t>Administration of thimerosal-containing vaccines to infant rhesus macaques does not result in autism-like behavior or neuropathology</t>
  </si>
  <si>
    <t>Gadad</t>
  </si>
  <si>
    <t>Gadad 2015</t>
  </si>
  <si>
    <t>10.1073/pnas.1500968112</t>
  </si>
  <si>
    <t>IQ alteration induced by lead in developed and underdeveloped/developing countries: A systematic review and a meta-analysis</t>
  </si>
  <si>
    <t>Galiciolli</t>
  </si>
  <si>
    <t>Galiciolli 2022</t>
  </si>
  <si>
    <t>10.1016/j.envpol.2021.118316</t>
  </si>
  <si>
    <t>Meta-analysis perfomed in underdevelopped countries</t>
  </si>
  <si>
    <t>Total blood mercury, plasma homocysteine, methylmalonic acid and folate in US children aged 3-5 years, NHANES 1999-2004</t>
  </si>
  <si>
    <t>Gallagher</t>
  </si>
  <si>
    <t>Gallagher 2011</t>
  </si>
  <si>
    <t>10.1016/j.scitotenv.2011.01.021</t>
  </si>
  <si>
    <t>Prenatal exposure to mercury and neurobehavioral development of neonates in Zhoushan City, China</t>
  </si>
  <si>
    <t>Gao</t>
  </si>
  <si>
    <t>Gao 2007</t>
  </si>
  <si>
    <t>10.1016/j.envres.2007.05.015</t>
  </si>
  <si>
    <t>wrong setting, wrong outcome</t>
  </si>
  <si>
    <t>The Benefit Risk Assessment of Consumption of Marine Species Based on Benefit-Risk Analysis for Foods (BRAFO)-tiered Approach</t>
  </si>
  <si>
    <t>Gao 2015</t>
  </si>
  <si>
    <t>10.3967/bes2015.035</t>
  </si>
  <si>
    <t>[Addressing the controversy regarding the association between thimerosal-containing vaccines and autism]</t>
  </si>
  <si>
    <t>Garcia-Fernández</t>
  </si>
  <si>
    <t>Garcia-Fernández 2013</t>
  </si>
  <si>
    <t>Influence of socio-demographic and diet determinants on the levels of mercury in preschool children from a Mediterranean island</t>
  </si>
  <si>
    <t>Gari</t>
  </si>
  <si>
    <t>Gari 2013</t>
  </si>
  <si>
    <t>10.1016/j.envpol.2013.07.022</t>
  </si>
  <si>
    <t>Exposure data, SES, ERF update</t>
  </si>
  <si>
    <t>Prenatal exposure to neurotoxic metals and micronutrients and neurodevelopmental outcomes in early school age children from Poland</t>
  </si>
  <si>
    <t>Gari 2022</t>
  </si>
  <si>
    <t>10.1016/j.envres.2021.112049</t>
  </si>
  <si>
    <t>Reducing Periconceptional Methylmercury Exposure: Cost-Utility Analysis for a Proposed Screening Program for Women Planning a Pregnancy in Ontario, Canada</t>
  </si>
  <si>
    <t>Gaskin</t>
  </si>
  <si>
    <t>Gaskin 2015</t>
  </si>
  <si>
    <t>10.1289/ehp.1409034</t>
  </si>
  <si>
    <t>Cost-benefit analysis MeHg - QALYs, exposure in Canada</t>
  </si>
  <si>
    <t>Proximity to sources of airborne lead is associated with reductions in Children's executive function in the first four years of life</t>
  </si>
  <si>
    <t>Gatzke-Kopp</t>
  </si>
  <si>
    <t>Gatzke-Kopp 2021</t>
  </si>
  <si>
    <t>10.1016/j.healthplace.2021.102517</t>
  </si>
  <si>
    <t>Trends in neurodevelopmental disability burden due to early life chemical exposure in the USA from 2001 to 2016: A population-based disease burden and cost analysis</t>
  </si>
  <si>
    <t>Gaylord</t>
  </si>
  <si>
    <t>Gaylord 2020</t>
  </si>
  <si>
    <t>10.1016/j.mce.2019.110666</t>
  </si>
  <si>
    <t>BoD and cost analysis</t>
  </si>
  <si>
    <t>Childhood exposures to environmental chemicals and neurodevelopmental outcomes in congenital heart disease</t>
  </si>
  <si>
    <t>Gaynor</t>
  </si>
  <si>
    <t>Gaynor 2022</t>
  </si>
  <si>
    <t>10.1371/journal.pone.0277611</t>
  </si>
  <si>
    <t>Association between Maternal Fluoride Exposure and Child IQ [8]</t>
  </si>
  <si>
    <t>Gehani</t>
  </si>
  <si>
    <t>Gehani 2020</t>
  </si>
  <si>
    <t>10.1001/jamapediatrics.2019.5260</t>
  </si>
  <si>
    <t>A two-phased population epidemiological study of the safety of thimerosal-containing vaccines: a follow-up analysis</t>
  </si>
  <si>
    <t>Geier</t>
  </si>
  <si>
    <t>Geier 2005</t>
  </si>
  <si>
    <t>A meta-analysis epidemiological assessment of neurodevelopmental disorders following vaccines administered from 1994 through 2000 in the United States</t>
  </si>
  <si>
    <t>Geier 2006</t>
  </si>
  <si>
    <t>An evaluation of the effects of thimerosal on neurodevelopmental disorders reported following DTP and Hib vaccines in comparison to DTPH vaccine in the United States</t>
  </si>
  <si>
    <t>10.1080/15287390500364556</t>
  </si>
  <si>
    <t>Neurodevelopmental disorders, maternal Rh-negativity, and Rho(D) immune globulins: a multi-center assessment</t>
  </si>
  <si>
    <t>Geier 2008</t>
  </si>
  <si>
    <t>exposure, wrong publication type</t>
  </si>
  <si>
    <t>Mitochondrial dysfunction, impaired oxidative-reduction activity, degeneration, and death in human neuronal and fetal cells induced by low-level exposure to thimerosal and other metal compounds</t>
  </si>
  <si>
    <t>Geier 2009</t>
  </si>
  <si>
    <t>10.1080/02772240802246458</t>
  </si>
  <si>
    <t>The biological basis of autism spectrum disorders: Understanding causation and treatment by clinical geneticists</t>
  </si>
  <si>
    <t>Geier 2010</t>
  </si>
  <si>
    <t xml:space="preserve">Mechanism for Hg-induced autism </t>
  </si>
  <si>
    <t>A dose-response relationship between organic mercury exposure from thimerosal-containing vaccines and neurodevelopmental disorders</t>
  </si>
  <si>
    <t>Geier 2014</t>
  </si>
  <si>
    <t>10.3390/ijerph110909156</t>
  </si>
  <si>
    <t>Thimerosal-Preserved Hepatitis B Vaccine and Hyperkinetic Syndrome of Childhood</t>
  </si>
  <si>
    <t>Geier 2016</t>
  </si>
  <si>
    <t>10.3390/brainsci6010009</t>
  </si>
  <si>
    <t>Blood Lead Levels and Learning Disabilities: A Cross-Sectional Study of the 2003-2004 National Health and Nutrition Examination Survey (NHANES)</t>
  </si>
  <si>
    <t>Geier 2017</t>
  </si>
  <si>
    <t>10.3390/ijerph14101202</t>
  </si>
  <si>
    <t>The risk of neurodevelopmental disorders following Thimerosal-containing Hib vaccine in comparison to Thimerosal-free Hib vaccine administered from 1995 to 1999 in the United States</t>
  </si>
  <si>
    <t>Geier 2018</t>
  </si>
  <si>
    <t>10.1016/j.ijheh.2018.03.004</t>
  </si>
  <si>
    <t>Inherited metabolic cardiomyopathies</t>
  </si>
  <si>
    <t>Germain</t>
  </si>
  <si>
    <t>Germain 2007</t>
  </si>
  <si>
    <t>wrong outcome, wrong publication type</t>
  </si>
  <si>
    <t>A novel calibration for L-shell x-ray fluorescence measurements of bone lead concentration using the strontium KÎ²/KÎ±ratio</t>
  </si>
  <si>
    <t>Gherase</t>
  </si>
  <si>
    <t>Gherase 2021</t>
  </si>
  <si>
    <t>10.1088/1361-6579/abf886</t>
  </si>
  <si>
    <t>Biallelic variants in HPDL, encoding 4-hydroxyphenylpyruvate dioxygenase-like protein, lead to an infantile neurodegenerative condition</t>
  </si>
  <si>
    <t>Ghosh</t>
  </si>
  <si>
    <t>Ghosh 2021</t>
  </si>
  <si>
    <t>10.1038/s41436-020-01010-y</t>
  </si>
  <si>
    <t>Early life lead exposure from private well water increases juvenile delinquency risk among US teens</t>
  </si>
  <si>
    <t>Gibson</t>
  </si>
  <si>
    <t>Gibson 2022</t>
  </si>
  <si>
    <t>10.1073/pnas.2110694119</t>
  </si>
  <si>
    <t xml:space="preserve">Pb - delinquency </t>
  </si>
  <si>
    <t>Fish, a Mediterranean source of n-3 PUFA: benefits do not justify limiting consumption</t>
  </si>
  <si>
    <t>Gil</t>
  </si>
  <si>
    <t>Gil 2015</t>
  </si>
  <si>
    <t>10.1017/s0007114514003742</t>
  </si>
  <si>
    <t>Regulation of Thyroid-disrupting Chemicals to Protect the Developing Brain</t>
  </si>
  <si>
    <t>Gilbert</t>
  </si>
  <si>
    <t>Gilbert 2020</t>
  </si>
  <si>
    <t>10.1210/endocr/bqaa106</t>
  </si>
  <si>
    <t>wrong population, wrong publication type</t>
  </si>
  <si>
    <t>Developmental neurotoxicity: some old and new issues</t>
  </si>
  <si>
    <t>Giordano</t>
  </si>
  <si>
    <t>Giordano 2012</t>
  </si>
  <si>
    <t>10.5402/2012/814795</t>
  </si>
  <si>
    <t>Transplacental permeability of heavy metals in relation to newborn sex â€“ evidence from the neurodevelopment project</t>
  </si>
  <si>
    <t>Giordano 2023</t>
  </si>
  <si>
    <t>10.5114/pm.2023.126437</t>
  </si>
  <si>
    <t>Adverse Childhood Experiences (ACEs) and Environmental Exposures on Neurocognitive Outcomes in Children: Empirical Evidence, Potential Mechanisms, and Implications</t>
  </si>
  <si>
    <t>Gladieux</t>
  </si>
  <si>
    <t>Gladieux 2023</t>
  </si>
  <si>
    <t>10.3390/toxics11030259</t>
  </si>
  <si>
    <t>Stunting is associated with blood lead concentration among Bangladeshi children aged 2-3 years</t>
  </si>
  <si>
    <t>Gleason</t>
  </si>
  <si>
    <t>Gleason 2016</t>
  </si>
  <si>
    <t>10.1186/s12940-016-0190-4</t>
  </si>
  <si>
    <t>Stunting and lead: using causal mediation analysis to better understand how environmental lead exposure affects cognitive outcomes in children</t>
  </si>
  <si>
    <t>Gleason 2020</t>
  </si>
  <si>
    <t>10.1186/s11689-020-09346-x</t>
  </si>
  <si>
    <t>Risk-Benefit Assessment of Monomethylmercury and Omega-3 Fatty Acid Intake for Ringed Seal Consumption with Particular Emphasis on Vulnerable Populations in the Western Canadian Arctic</t>
  </si>
  <si>
    <t>Gmelch</t>
  </si>
  <si>
    <t>Gmelch 2017</t>
  </si>
  <si>
    <t>10.3389/fnut.2017.00030</t>
  </si>
  <si>
    <t>exposure, wrong outcome, wrong study design</t>
  </si>
  <si>
    <t xml:space="preserve">Risk-benefit analysis </t>
  </si>
  <si>
    <t>Maternal prenatal blood mercury is not adversely associated with offspring IQ at 8 years provided the mother eats fish: A British prebirth cohort study</t>
  </si>
  <si>
    <t>Golding</t>
  </si>
  <si>
    <t>Golding 2017</t>
  </si>
  <si>
    <t>10.1016/j.ijheh.2017.07.004</t>
  </si>
  <si>
    <t>Golding et al. 2022</t>
  </si>
  <si>
    <t>To be grouped with Golding 2022</t>
  </si>
  <si>
    <t>The benefits of fish intake: Results concerning prenatal mercury exposure and child outcomes from the ALSPAC prebirth cohort</t>
  </si>
  <si>
    <t>Golding 2022</t>
  </si>
  <si>
    <t>10.1016/j.neuro.2022.04.012</t>
  </si>
  <si>
    <t>Golding et al. 2017</t>
  </si>
  <si>
    <t>Same results as Golding 2017</t>
  </si>
  <si>
    <t>[Research development of the influence of psychological stimulation acception and lead exposure during pregnancy on neural system of fetus and infant]</t>
  </si>
  <si>
    <t>Gong</t>
  </si>
  <si>
    <t>Gong 2011</t>
  </si>
  <si>
    <t>Lead and Attention-Deficit/Hyperactivity Disorder (ADHD) symptoms: a meta-analysis</t>
  </si>
  <si>
    <t>Goodlad</t>
  </si>
  <si>
    <t>Goodlad 2013</t>
  </si>
  <si>
    <t>10.1016/j.cpr.2013.01.009</t>
  </si>
  <si>
    <t>Exposure data, ADHD</t>
  </si>
  <si>
    <t>Estimating uncertainty in observational studies of associations between continuous variables: example of methylmercury and neuropsychological testing in children</t>
  </si>
  <si>
    <t>Goodman</t>
  </si>
  <si>
    <t>Goodman 2007</t>
  </si>
  <si>
    <t>10.1186/1742-5573-4-9</t>
  </si>
  <si>
    <t>Quality control and statistical modeling for environmental epigenetics: A study on in Utero lead exposure and DNA methylation at birth</t>
  </si>
  <si>
    <t>Goodrich</t>
  </si>
  <si>
    <t>Goodrich 2015</t>
  </si>
  <si>
    <t>10.4161/15592294.2014.989077</t>
  </si>
  <si>
    <t>Does music training enhance literacy skills? A meta-analysis</t>
  </si>
  <si>
    <t>Gordon</t>
  </si>
  <si>
    <t>Gordon 2015</t>
  </si>
  <si>
    <t>10.3389/fpsyg.2015.01777</t>
  </si>
  <si>
    <t>The Role of Heavy Metal Pollution in Neurobehavioral Disorders: a Focus on Autism</t>
  </si>
  <si>
    <t>Gorini</t>
  </si>
  <si>
    <t>Gorini 2014</t>
  </si>
  <si>
    <t>10.1007/s40489-014-0028-3</t>
  </si>
  <si>
    <t xml:space="preserve">Review </t>
  </si>
  <si>
    <t>Developmental neurotoxicity of industrial chemicals</t>
  </si>
  <si>
    <t>Grandjean</t>
  </si>
  <si>
    <t>Grandjean 2006</t>
  </si>
  <si>
    <t>10.1016/s0140-6736(06)69665-7</t>
  </si>
  <si>
    <t>[Effect of industrial chemicals on development of the nerve system--secondary publication]</t>
  </si>
  <si>
    <t>Grandjean 2007</t>
  </si>
  <si>
    <t>Neurotoxicity from prenatal and postnatal exposure to methylmercury</t>
  </si>
  <si>
    <t>Grandjean 2014</t>
  </si>
  <si>
    <t>10.1016/j.ntt.2014.03.004</t>
  </si>
  <si>
    <t>Health consequences of exposure to e-waste: A systematic review</t>
  </si>
  <si>
    <t>Grant</t>
  </si>
  <si>
    <t>Grant 2013</t>
  </si>
  <si>
    <t>10.1016/S2214-109X(13)70101-3</t>
  </si>
  <si>
    <t>Potential health risks to adults and children in the UK from exposure to dietary lead in gamebirds shot with lead ammunition</t>
  </si>
  <si>
    <t>Green</t>
  </si>
  <si>
    <t>Green 2012</t>
  </si>
  <si>
    <t>10.1016/j.fct.2012.08.032</t>
  </si>
  <si>
    <t xml:space="preserve">May contain relevant Pb-exposure data for the UK </t>
  </si>
  <si>
    <t>Risks to human health from ammunition-derived lead in Europe</t>
  </si>
  <si>
    <t>Green 2019</t>
  </si>
  <si>
    <t>10.1007/s13280-019-01194-x</t>
  </si>
  <si>
    <t>Association of PIK3CG gene polymorphisms with attention-deficit/hyperactivity disorder: A case-control study</t>
  </si>
  <si>
    <t>Gu</t>
  </si>
  <si>
    <t>Gu 2018</t>
  </si>
  <si>
    <t>10.1016/j.pnpbp.2017.10.020</t>
  </si>
  <si>
    <t>Probiotic Lactobacillus rhamnosus GR-1 supplementation attenuates Pb-induced learning and memory deficits by reshaping the gut microbiota</t>
  </si>
  <si>
    <t>Gu 2022</t>
  </si>
  <si>
    <t>10.3389/fnut.2022.934118</t>
  </si>
  <si>
    <t>Background lead and mercury exposures: Psychological and behavioral problems in children</t>
  </si>
  <si>
    <t>Gump</t>
  </si>
  <si>
    <t>Gump 2017</t>
  </si>
  <si>
    <t>10.1016/j.envres.2017.06.033</t>
  </si>
  <si>
    <t>Heavy metals in breast milk: Implications for toxicity</t>
  </si>
  <si>
    <t>Gundacker</t>
  </si>
  <si>
    <t>Gundacker 2005</t>
  </si>
  <si>
    <t>Lead (Pb) and neurodevelopment: A review on exposure and biomarkers of effect (BDNF, HDL) and susceptibility</t>
  </si>
  <si>
    <t>Gundacker 2021</t>
  </si>
  <si>
    <t>10.1016/j.ijheh.2021.113855</t>
  </si>
  <si>
    <t>Review, exposure data</t>
  </si>
  <si>
    <t>Prenatal exposure to mixture of heavy metals, pesticides and phenols and IQ in children at 7 years of age: The SMBCS study</t>
  </si>
  <si>
    <t>Guo</t>
  </si>
  <si>
    <t>Guo 2020</t>
  </si>
  <si>
    <t>10.1016/j.envint.2020.105692</t>
  </si>
  <si>
    <t>matrix</t>
  </si>
  <si>
    <t>Sole reference on prenatal urine</t>
  </si>
  <si>
    <t>Effects of single and combined exposure to lead and stress during pregnancy on offspring neurodevelopment</t>
  </si>
  <si>
    <t>Guo 2022</t>
  </si>
  <si>
    <t>10.1016/j.dcn.2022.101124</t>
  </si>
  <si>
    <t>Methylmercury exposure and cognitive abilities and behavior at 10years of age</t>
  </si>
  <si>
    <t>Gustin</t>
  </si>
  <si>
    <t>Gustin 2017</t>
  </si>
  <si>
    <t>10.1016/j.envint.2017.02.004</t>
  </si>
  <si>
    <t>Childhood lead exposure and sex-based neurobehavioral functioning in adolescence</t>
  </si>
  <si>
    <t>Halabicky</t>
  </si>
  <si>
    <t>Halabicky 2022</t>
  </si>
  <si>
    <t>10.1016/j.neuro.2022.08.008</t>
  </si>
  <si>
    <t>Low level lead exposure in early childhood and parental education on adolescent IQ and working memory: a cohort study</t>
  </si>
  <si>
    <t>Halabicky 2023</t>
  </si>
  <si>
    <t>10.1038/s41370-022-00450-9</t>
  </si>
  <si>
    <t>Hepatic Function in Patients with SMID (Severe Motor and Intellectual Disabilities) associated with Intractable Epilepsy: Undergoing Multidrug Therapy with Valproic Acid</t>
  </si>
  <si>
    <t>Hamada</t>
  </si>
  <si>
    <t>Hamada 2021</t>
  </si>
  <si>
    <t>Lead exposure and intellectual function: Findings from primary school children in Bangladesh</t>
  </si>
  <si>
    <t>Haque</t>
  </si>
  <si>
    <t>Haque 2012</t>
  </si>
  <si>
    <t>10.3329/bjms.v11i4.12599</t>
  </si>
  <si>
    <t>Chapter 11 Antiepileptic Drug Teratogenesis. What are the Risks for Congenital Malformations and Adverse Cognitive Outcomes?</t>
  </si>
  <si>
    <t>Harden</t>
  </si>
  <si>
    <t>Harden 2008</t>
  </si>
  <si>
    <t>10.1016/S0074-7742(08)00011-1</t>
  </si>
  <si>
    <t>The need for developmental neurotoxicity studies in risk assessment for developmental toxicity</t>
  </si>
  <si>
    <t>Hass</t>
  </si>
  <si>
    <t>Hass 2006</t>
  </si>
  <si>
    <t>10.1016/j.reprotox.2006.04.009</t>
  </si>
  <si>
    <t>The health risk of lead in drinking water in school facilities of the Pardubice Region</t>
  </si>
  <si>
    <t>Havel</t>
  </si>
  <si>
    <t>Havel 2015</t>
  </si>
  <si>
    <t>10.21101/hygiena.a1326</t>
  </si>
  <si>
    <t>Manganese Exposure and Neurocognitive Outcomes in Rural School-Age Children: The Communities Actively Researching Exposure Study (Ohio, USA)</t>
  </si>
  <si>
    <t>Haynes</t>
  </si>
  <si>
    <t>Haynes 2015</t>
  </si>
  <si>
    <t>10.1289/ehp.1408993</t>
  </si>
  <si>
    <t xml:space="preserve">Non-EU study </t>
  </si>
  <si>
    <t>Impact of air manganese on child neurodevelopment in East Liverpool, Ohio</t>
  </si>
  <si>
    <t>Haynes 2018</t>
  </si>
  <si>
    <t>10.1016/j.neuro.2017.09.001</t>
  </si>
  <si>
    <t>Low blood lead levels and attention-deficit hyperactivity disorder in children: a systematic review and meta-analysis</t>
  </si>
  <si>
    <t>He</t>
  </si>
  <si>
    <t>He 2019</t>
  </si>
  <si>
    <t>10.1007/s11356-017-9799-2</t>
  </si>
  <si>
    <t>The effect of lead exposure on IQ test scores in children under 12 years: a systematic review and meta-analysis of case-control studies</t>
  </si>
  <si>
    <t>Heidari</t>
  </si>
  <si>
    <t>Heidari 2022</t>
  </si>
  <si>
    <t>10.1186/s13643-022-01963-y</t>
  </si>
  <si>
    <t>Reporting standard difference in IQ between exposure groups</t>
  </si>
  <si>
    <t>Heavy metals and neurodevelopment of children in low and middle-income countries: A systematic review</t>
  </si>
  <si>
    <t>Heng</t>
  </si>
  <si>
    <t>Heng 2022</t>
  </si>
  <si>
    <t>10.1371/journal.pone.0265536</t>
  </si>
  <si>
    <t>Associations of early childhood manganese and lead coexposure with neurodevelopment</t>
  </si>
  <si>
    <t>Henn</t>
  </si>
  <si>
    <t>Henn 2012</t>
  </si>
  <si>
    <t>10.1289/ehp.1003300</t>
  </si>
  <si>
    <t>mixture, ERF update</t>
  </si>
  <si>
    <t>Mixture results only</t>
  </si>
  <si>
    <t>Maternal and cord blood manganese concentrations and early childhood neurodevelopment among residents near a mining-impacted superfund site</t>
  </si>
  <si>
    <t>Henn 2017</t>
  </si>
  <si>
    <t>10.1289/EHP925</t>
  </si>
  <si>
    <t>mixture</t>
  </si>
  <si>
    <t>Concentrations of Lead, Mercury, Arsenic, Cadmium, Manganese, and Aluminum in Blood of Romanian Children Suspected of Having Autism Spectrum Disorder</t>
  </si>
  <si>
    <t>Hessabi</t>
  </si>
  <si>
    <t>Hessabi 2019</t>
  </si>
  <si>
    <t>10.3390/ijerph16132303</t>
  </si>
  <si>
    <t>Exposure levels</t>
  </si>
  <si>
    <t>Total mercury exposure in early pregnancy has no adverse association with scholastic ability of the offspring particularly if the mother eats fish</t>
  </si>
  <si>
    <t>Hibbeln</t>
  </si>
  <si>
    <t>Hibbeln 2018</t>
  </si>
  <si>
    <t>10.1016/j.envint.2018.03.024</t>
  </si>
  <si>
    <t>Developmental neurotoxicity of fluoride: A quantitative risk analysis towards establishing a safe daily dose of fluoride for children</t>
  </si>
  <si>
    <t>Hirzy</t>
  </si>
  <si>
    <t>Hirzy 2016</t>
  </si>
  <si>
    <t>[Substitutive and dietetic approaches in childhood autistic disorder: interests and limits]</t>
  </si>
  <si>
    <t>Hjiej</t>
  </si>
  <si>
    <t>Hjiej 2008</t>
  </si>
  <si>
    <t>10.1016/j.encep.2007.10.011</t>
  </si>
  <si>
    <t>Decreased glutathione and elevated hair mercury levels are associated with nutritional deficiency-based autism in Oman</t>
  </si>
  <si>
    <t>Hodgson</t>
  </si>
  <si>
    <t>Hodgson 2014</t>
  </si>
  <si>
    <t>10.1177/1535370214527900</t>
  </si>
  <si>
    <t xml:space="preserve">No quantitative association reported, only qualitatively, ASD </t>
  </si>
  <si>
    <t>Adaptive training leads to sustained enhancement of poor working memory in children</t>
  </si>
  <si>
    <t>Holmes</t>
  </si>
  <si>
    <t>Holmes 2009</t>
  </si>
  <si>
    <t>10.1111/j.1467-7687.2009.00848.x</t>
  </si>
  <si>
    <t>Childhood lead poisoning: an overview</t>
  </si>
  <si>
    <t>Hon</t>
  </si>
  <si>
    <t>Hon 2017</t>
  </si>
  <si>
    <t>10.12809/hkmj176214</t>
  </si>
  <si>
    <t>Environmental lead exposure and attention deficit/hyperactivity disorder symptom domains in a community sample of South Korean school-age children</t>
  </si>
  <si>
    <t>Hong</t>
  </si>
  <si>
    <t>Hong 2015</t>
  </si>
  <si>
    <t>10.1289/ehp.1307420</t>
  </si>
  <si>
    <t>The use of a physiologically-based extraction test to assess relationships between bioaccessible metals in urban soil and neurodevelopmental conditions in children</t>
  </si>
  <si>
    <t>Hong 2016</t>
  </si>
  <si>
    <t>10.1016/j.envpol.2016.01.001</t>
  </si>
  <si>
    <t xml:space="preserve">Soil Pb </t>
  </si>
  <si>
    <t>Methodological issues and evidence of malfeasance in research purporting to show thimerosal in vaccines is safe</t>
  </si>
  <si>
    <t>Hooker</t>
  </si>
  <si>
    <t>Hooker 2014</t>
  </si>
  <si>
    <t>10.1155/2014/247218</t>
  </si>
  <si>
    <t>Age of greatest susceptibility to childhood lead exposure: a new statistical approach</t>
  </si>
  <si>
    <t>Hornung</t>
  </si>
  <si>
    <t>Hornung 2009</t>
  </si>
  <si>
    <t>10.1289/ehp.0800426</t>
  </si>
  <si>
    <t>Same cohort studies included as Crump 2013</t>
  </si>
  <si>
    <t>Neuroimaging is a novel tool to understand the impact of environmental chemicals on neurodevelopment</t>
  </si>
  <si>
    <t>Horton</t>
  </si>
  <si>
    <t>Horton 2014</t>
  </si>
  <si>
    <t>10.1097/MOP.0000000000000074</t>
  </si>
  <si>
    <t>Dentine biomarkers of prenatal and early childhood exposure to manganese, zinc and lead and childhood behavior</t>
  </si>
  <si>
    <t>Horton 2018</t>
  </si>
  <si>
    <t>10.1016/j.envint.2018.08.045</t>
  </si>
  <si>
    <t xml:space="preserve">exposure, wrong outcome, dental history </t>
  </si>
  <si>
    <t>Using the delayed spatial alternation task to assess environmentally associated changes in working memory in very young children</t>
  </si>
  <si>
    <t>Horton 2020</t>
  </si>
  <si>
    <t>10.1016/j.neuro.2019.12.009</t>
  </si>
  <si>
    <t>Association between Maternal Fluoride Exposure and Child IQ [10]</t>
  </si>
  <si>
    <t>Howard</t>
  </si>
  <si>
    <t>Howard 2020</t>
  </si>
  <si>
    <t>10.1001/jamapediatrics.2019.5266</t>
  </si>
  <si>
    <t>Arsenic methylation capacity and developmental delay in preschool children in Taiwan</t>
  </si>
  <si>
    <t>Hsieh</t>
  </si>
  <si>
    <t>Hsieh 2014</t>
  </si>
  <si>
    <t>10.1016/j.ijheh.2014.02.004</t>
  </si>
  <si>
    <t>Fetal lead exposure at each stage of pregnancy as a predictor of infant mental development</t>
  </si>
  <si>
    <t>Hu</t>
  </si>
  <si>
    <t>Hu 2006</t>
  </si>
  <si>
    <t>10.1289/ehp.9067</t>
  </si>
  <si>
    <t>Prenatal low-level mercury exposure and infant neurodevelopment at 12 months in rural northern China</t>
  </si>
  <si>
    <t>Hu 2016</t>
  </si>
  <si>
    <t>10.1007/s11356-016-6395-9</t>
  </si>
  <si>
    <t>Exploring nonlinear association between prenatal methylmercury exposure from fish consumption and child development: evaluation of the Seychelles Child Development Study nine-year data using semiparametric additive models</t>
  </si>
  <si>
    <t>Huang</t>
  </si>
  <si>
    <t>Huang 2005</t>
  </si>
  <si>
    <t>10.1016/j.envres.2004.05.004</t>
  </si>
  <si>
    <t>Huang et al. 2007</t>
  </si>
  <si>
    <t>To be grouped with Huang 2007</t>
  </si>
  <si>
    <t>Is susceptibility to prenatal methylmercury exposure from fish consumption non-homogeneous? Tree-structured analysis for the Seychelles Child Development Study</t>
  </si>
  <si>
    <t>Huang 2007</t>
  </si>
  <si>
    <t>10.1016/j.neuro.2007.08.009</t>
  </si>
  <si>
    <t>Huang et al. 2005</t>
  </si>
  <si>
    <t>Same results as Huang 2005</t>
  </si>
  <si>
    <t>Childhood blood lead levels and intellectual development after ban of leaded gasoline in Taiwan: a 9-year prospective study</t>
  </si>
  <si>
    <t>Huang 2012</t>
  </si>
  <si>
    <t>10.1016/j.envint.2011.10.011</t>
  </si>
  <si>
    <t>Asymmetrical confidence interval</t>
  </si>
  <si>
    <t>Childhood Blood Lead Levels and Symptoms of Attention Deficit Hyperactivity Disorder (ADHD): A Cross-Sectional Study of Mexican Children</t>
  </si>
  <si>
    <t>Huang 2016</t>
  </si>
  <si>
    <t>10.1289/ehp.1510067</t>
  </si>
  <si>
    <t>Analysis of Nonlinear Associations between Prenatal Methylmercury Exposure from Fish Consumption and Neurodevelopmental Outcomes in the Seychelles Main Cohort at 17 Years</t>
  </si>
  <si>
    <t>Huang 2018</t>
  </si>
  <si>
    <t>10.1007/s00477-017-1451-7</t>
  </si>
  <si>
    <t>ERF update, SES</t>
  </si>
  <si>
    <t>Exposure to multiple metals and the risk of dyslexia - A case control study in Shantou, China</t>
  </si>
  <si>
    <t>Huang 2022</t>
  </si>
  <si>
    <t>10.1016/j.envpol.2022.119518</t>
  </si>
  <si>
    <t>Recurrent Late-Onset Sepsis in Extremely Low Birth Weight Infants Is Associated with Motor Deficits in Early School Age</t>
  </si>
  <si>
    <t>Humberg</t>
  </si>
  <si>
    <t>Humberg 2022</t>
  </si>
  <si>
    <t>10.1159/000525709</t>
  </si>
  <si>
    <t>Foster care leads to sustained cognitive gains following severe early deprivation</t>
  </si>
  <si>
    <t>Humphreys</t>
  </si>
  <si>
    <t>Humphreys 2022</t>
  </si>
  <si>
    <t>10.1073/pnas.2119318119</t>
  </si>
  <si>
    <t>Wwox deletion leads to reduced GABA-ergic inhibitory interneuron numbers and activation of microglia and astrocytes in mouse hippocampus</t>
  </si>
  <si>
    <t>Hussain</t>
  </si>
  <si>
    <t>Hussain 2019</t>
  </si>
  <si>
    <t>10.1016/j.nbd.2018.09.026</t>
  </si>
  <si>
    <t>Exposure to lead from a storage site associated with intellectual impairment in Chilean children living nearby</t>
  </si>
  <si>
    <t>Iglesias</t>
  </si>
  <si>
    <t>Iglesias 2011</t>
  </si>
  <si>
    <t>10.1179/107735211799041841</t>
  </si>
  <si>
    <t>Contribution of house dust contamination towards lead exposure among children in Karachi, Pakistan</t>
  </si>
  <si>
    <t>Ikegami</t>
  </si>
  <si>
    <t>Ikegami 2020</t>
  </si>
  <si>
    <t>10.1515/reveh-2020-0020</t>
  </si>
  <si>
    <t>A potential gain-of-function variant of SLC9A6 leads to endosomal alkalinization and neuronal atrophy associated with Christianson Syndrome</t>
  </si>
  <si>
    <t>Ilie</t>
  </si>
  <si>
    <t>Ilie 2019</t>
  </si>
  <si>
    <t>10.1016/j.nbd.2018.10.002</t>
  </si>
  <si>
    <t>Human dietary exposure to chemicals in sub-Saharan Africa: safety assessment through a total diet study</t>
  </si>
  <si>
    <t>Ingenbleek</t>
  </si>
  <si>
    <t>Ingenbleek 2020</t>
  </si>
  <si>
    <t>10.1016/s2542-5196(20)30104-2</t>
  </si>
  <si>
    <t>No association between prenatal lead exposure and neurodevelopment during early childhood in the Japan Environment and Children's Study</t>
  </si>
  <si>
    <t>Inoue</t>
  </si>
  <si>
    <t>Inoue 2022</t>
  </si>
  <si>
    <t>10.1038/s41598-022-19509-6</t>
  </si>
  <si>
    <t>Associations Among Maternal Metabolic Conditions, Cord Serum Leptin Levels, and Autistic Symptoms in Children</t>
  </si>
  <si>
    <t>Iwabuchi</t>
  </si>
  <si>
    <t>Iwabuchi 2021</t>
  </si>
  <si>
    <t>10.3389/fpsyt.2021.816196</t>
  </si>
  <si>
    <t>The role of iron and other trace elements on mental development and cognitive function</t>
  </si>
  <si>
    <t>Izquierdo-Ã</t>
  </si>
  <si>
    <t>10.1007/978-3-319-17103-6_12</t>
  </si>
  <si>
    <t>wrong exposure, wrong publication type</t>
  </si>
  <si>
    <t>Relation of Prenatal Methylmercury Exposure from Environmental Sources to Childhood IQ</t>
  </si>
  <si>
    <t>Jacobson</t>
  </si>
  <si>
    <t>Jacobson 2015</t>
  </si>
  <si>
    <t>10.1289/ehp.1408554</t>
  </si>
  <si>
    <t>Associations between perfluoroalkyl acids in serum and lead and mercury in whole blood among US children aged 3-11 years</t>
  </si>
  <si>
    <t>Jain</t>
  </si>
  <si>
    <t>Jain 2021</t>
  </si>
  <si>
    <t>10.1007/s11356-021-13042-1</t>
  </si>
  <si>
    <t>Low-level environmental lead exposure and intellectual impairment in children--the current concepts of risk assessment</t>
  </si>
  <si>
    <t>Jakubowski</t>
  </si>
  <si>
    <t>Jakubowski 2011</t>
  </si>
  <si>
    <t>10.2478/s13382-011-0009-z</t>
  </si>
  <si>
    <t>Environmental burden of disease due to lead in urban children from Silesia, Poland</t>
  </si>
  <si>
    <t>Jarosinska</t>
  </si>
  <si>
    <t>Jarosinska 2006</t>
  </si>
  <si>
    <t>10.1016/j.scitotenv.2006.01.001</t>
  </si>
  <si>
    <t>Gender specific differences in neurodevelopmental effects of prenatal exposure to very low-lead levels: the prospective cohort study in three-year olds</t>
  </si>
  <si>
    <t>Jedrychowski</t>
  </si>
  <si>
    <t>Jedrychowski 2009</t>
  </si>
  <si>
    <t>10.1016/j.earlhumdev.2009.04.006</t>
  </si>
  <si>
    <t>Cognitive function of 6-year old children exposed to mold-contaminated homes in early postnatal period. Prospective birth cohort study in Poland</t>
  </si>
  <si>
    <t>Jedrychowski 2011</t>
  </si>
  <si>
    <t>10.1016/j.physbeh.2011.06.019</t>
  </si>
  <si>
    <t>Evidence that cognitive deficit in children is associated not only with iron deficiency, but also with blood lead concentration: a preliminary study</t>
  </si>
  <si>
    <t>Jeong</t>
  </si>
  <si>
    <t>Jeong 2015</t>
  </si>
  <si>
    <t>10.1016/j.jtemb.2014.08.014</t>
  </si>
  <si>
    <t>Verbal IQ only</t>
  </si>
  <si>
    <t>High Maternal Blood Mercury Level Is Associated with Low Verbal IQ in Children</t>
  </si>
  <si>
    <t>Jeong 2017</t>
  </si>
  <si>
    <t>10.3346/jkms.2017.32.7.1097</t>
  </si>
  <si>
    <t>Parenteral nutrition as an unexpected and preventable source of mercury exposure in preterm infants</t>
  </si>
  <si>
    <t>Jering</t>
  </si>
  <si>
    <t>Jering 2015</t>
  </si>
  <si>
    <t>10.1016/j.jpeds.2015.02.047</t>
  </si>
  <si>
    <t>A Prospective Birth Cohort Study on Early Childhood Lead Levels and Attention Deficit Hyperactivity Disorder: New Insight on Sex Differences</t>
  </si>
  <si>
    <t>Ji</t>
  </si>
  <si>
    <t>Ji 2018</t>
  </si>
  <si>
    <t>10.1016/j.jpeds.2018.03.076</t>
  </si>
  <si>
    <t>Fetal exposure to environmental neurotoxins in Taiwan</t>
  </si>
  <si>
    <t>Jiang</t>
  </si>
  <si>
    <t>Jiang 2014</t>
  </si>
  <si>
    <t>10.1371/journal.pone.0109984</t>
  </si>
  <si>
    <t>Associations among prenatal and postnatal arsenic, lead, and cadmium exposures and motor development in 3-year-old children: a longitudinal birth cohort study in Taiwan</t>
  </si>
  <si>
    <t>Jiang 2022</t>
  </si>
  <si>
    <t>10.1007/s11356-021-18321-5</t>
  </si>
  <si>
    <t>Pb measured in non-blood matrix</t>
  </si>
  <si>
    <t>Gender difference in the effects of lead exposure at different time windows on neurobehavioral development in 5-year-old children</t>
  </si>
  <si>
    <t>Joo</t>
  </si>
  <si>
    <t>Joo 2018</t>
  </si>
  <si>
    <t>10.1016/j.scitotenv.2017.10.007</t>
  </si>
  <si>
    <t>Investigating neurobehavior, not cognition nor IQ</t>
  </si>
  <si>
    <t>Neurodevelopmental toxicity risks due to occupational exposure to industrial chemicals during pregnancy</t>
  </si>
  <si>
    <t>Julvez</t>
  </si>
  <si>
    <t>Julvez 2009</t>
  </si>
  <si>
    <t>10.2486/indhealth.47.459</t>
  </si>
  <si>
    <t>Prenatal methylmercury exposure and genetic predisposition to cognitive deficit at age 8 years</t>
  </si>
  <si>
    <t>Julvez 2013</t>
  </si>
  <si>
    <t>10.1097/EDE.0b013e31829d5c93</t>
  </si>
  <si>
    <t>Julvez et al. 2019, Julvez et al. 2013</t>
  </si>
  <si>
    <t>ERF update, SES, exposure data</t>
  </si>
  <si>
    <t>Grouped with Julvez 2019</t>
  </si>
  <si>
    <t>A Birth Cohort Study on the Genetic Modification of the Association of Prenatal Methylmercury With Child Cognitive Development</t>
  </si>
  <si>
    <t>Julvez 2019</t>
  </si>
  <si>
    <t>10.1093/aje/kwz156</t>
  </si>
  <si>
    <t>ERF update, exposure data, mixture</t>
  </si>
  <si>
    <t>Grouped with Julvez 2013</t>
  </si>
  <si>
    <t>Early life multiple exposures and child cognitive function: A multi-centric birth cohort study in six European countries</t>
  </si>
  <si>
    <t>Julvez 2021</t>
  </si>
  <si>
    <t>10.1016/j.envpol.2021.117404</t>
  </si>
  <si>
    <t>Prenatal and childhood exposure to pesticides and neurobehavioral development: review of epidemiological studies</t>
  </si>
  <si>
    <t>Jurewicz</t>
  </si>
  <si>
    <t>Jurewicz 2008</t>
  </si>
  <si>
    <t>10.2478/v10001-008-0014-z</t>
  </si>
  <si>
    <t>Chemical exposure early in life and the neurodevelopment of children--an overview of current epidemiological evidence</t>
  </si>
  <si>
    <t>Jurewicz 2013</t>
  </si>
  <si>
    <t>Determinants of Hair Manganese, lead, cadmium and arsenic levels in environmentally exposed children</t>
  </si>
  <si>
    <t>Jursa</t>
  </si>
  <si>
    <t>Jursa 2018</t>
  </si>
  <si>
    <t>10.3390/toxics6020019</t>
  </si>
  <si>
    <t>Blood lead concentrations &lt; 10 microg/dL and child intelligence at 6 years of age</t>
  </si>
  <si>
    <t>Jusko</t>
  </si>
  <si>
    <t>Jusko 2008</t>
  </si>
  <si>
    <t>10.1289/ehp.10424</t>
  </si>
  <si>
    <t>Non linear relationship (Figure 6)</t>
  </si>
  <si>
    <t>Infant neurodevelopment and behavior in Guadeloupe after lead exposure and Zika maternal infection during pregnancy</t>
  </si>
  <si>
    <t>Kadawathagedara</t>
  </si>
  <si>
    <t>Kadawathagedara 2023</t>
  </si>
  <si>
    <t>10.1016/j.neuro.2022.11.007</t>
  </si>
  <si>
    <t>Blood lead concentration and thyroid function during pregnancy: results from the Yugoslavia Prospective Study of Environmental Lead Exposure</t>
  </si>
  <si>
    <t>Kahn</t>
  </si>
  <si>
    <t>Kahn 2014</t>
  </si>
  <si>
    <t>10.1289/ehp.1307669</t>
  </si>
  <si>
    <t>Tracking childhood exposure to lead and developmental disabilities: examining the relationship in a population-based sample</t>
  </si>
  <si>
    <t>Kaiser</t>
  </si>
  <si>
    <t>Kaiser 2008</t>
  </si>
  <si>
    <t>10.1097/01.PHH.0000338370.59080.4b</t>
  </si>
  <si>
    <t>Environmental Pollutants and Neurodevelopment: Review of Benefits From Closure of a Coal-Burning Power Plant in Tongliang, China</t>
  </si>
  <si>
    <t>Kalia</t>
  </si>
  <si>
    <t>Kalia 2017</t>
  </si>
  <si>
    <t>10.1177/2333794x17721609</t>
  </si>
  <si>
    <t>Effects of soil lead exposure and land use characteristics on neurodevelopment among children under 3 years of age in northern Taiwan</t>
  </si>
  <si>
    <t>Kao</t>
  </si>
  <si>
    <t>Kao 2021</t>
  </si>
  <si>
    <t>10.1016/j.envpol.2021.117288</t>
  </si>
  <si>
    <t>Associations of maternal food safety-related risk perceptions and protective behaviors with daily mercury intake and internal doses of Taiwanese women and their preschool children</t>
  </si>
  <si>
    <t>Kao 2022</t>
  </si>
  <si>
    <t>10.1016/j.envres.2022.113344</t>
  </si>
  <si>
    <t>Mercury Exposure in Mother-Children Pairs in A Seafood Eating Population: Body Burden and Related Factors</t>
  </si>
  <si>
    <t>Karatela</t>
  </si>
  <si>
    <t>Karatela 2019</t>
  </si>
  <si>
    <t>10.3390/ijerph16122238</t>
  </si>
  <si>
    <t>[Recent Epidemiological Studies on Methylmercury, Mercury and Selenium]</t>
  </si>
  <si>
    <t>Karita</t>
  </si>
  <si>
    <t>Karita 2016</t>
  </si>
  <si>
    <t>10.1265/jjh.71.236</t>
  </si>
  <si>
    <t>Lead exposure and early child neurodevelopment among children 12-24 months in Kinshasa, the Democratic Republic of Congo</t>
  </si>
  <si>
    <t>Kashala-Abotnes</t>
  </si>
  <si>
    <t>Kashala-Abotnes 2016</t>
  </si>
  <si>
    <t>10.1007/s00787-016-0860-3</t>
  </si>
  <si>
    <t>HBM4EU-MOM: Prenatal methylmercury-exposure control in five countries through suitable dietary advice for pregnancy - Study design and characteristics of participants</t>
  </si>
  <si>
    <t>Katsonouri</t>
  </si>
  <si>
    <t>Katsonouri 2023</t>
  </si>
  <si>
    <t>10.1016/j.ijheh.2023.114213</t>
  </si>
  <si>
    <t>Hypertensive disorders of pregnancy and alterations in brain metabolites in preterm infants: A multi-voxel proton MR spectroscopy study</t>
  </si>
  <si>
    <t>Katsuki</t>
  </si>
  <si>
    <t>Katsuki 2021</t>
  </si>
  <si>
    <t>10.1016/j.earlhumdev.2021.105479</t>
  </si>
  <si>
    <t>Brain uptake and utilization of fatty acids, lipids &amp; lipoproteins: recommendations for future research</t>
  </si>
  <si>
    <t>Katz</t>
  </si>
  <si>
    <t>Katz 2007</t>
  </si>
  <si>
    <t>10.1007/s12031-007-0059-7</t>
  </si>
  <si>
    <t>Anticonvulsant drug-induced cell death in the developing white matter of the rodent brain</t>
  </si>
  <si>
    <t>Kaushal</t>
  </si>
  <si>
    <t>Kaushal 2016</t>
  </si>
  <si>
    <t>10.1111/epi.13365</t>
  </si>
  <si>
    <t>Maternal hemochromatosis gene H63D single-nucleotide polymorphism and lead levels of placental tissue, maternal and umbilical cord blood</t>
  </si>
  <si>
    <t>Kayaalti</t>
  </si>
  <si>
    <t>Kayaalti 2015</t>
  </si>
  <si>
    <t>10.1016/j.envres.2015.05.004</t>
  </si>
  <si>
    <t>Evaluation of lead levels in biological samples of mentally retarded children in different stages using advanced extraction method</t>
  </si>
  <si>
    <t>Kazi</t>
  </si>
  <si>
    <t>Kazi 2013</t>
  </si>
  <si>
    <t>10.1016/j.etap.2013.07.018</t>
  </si>
  <si>
    <t>wrong population, wrong setting</t>
  </si>
  <si>
    <t>Developmental exposure to methylmercury and ADHD, a literature review of epigenetic studies</t>
  </si>
  <si>
    <t>Ke</t>
  </si>
  <si>
    <t>Ke 2021</t>
  </si>
  <si>
    <t>10.1093/eep/dvab014</t>
  </si>
  <si>
    <t>Utilization of the Premature Birth Knowledge Scale to Assess Pediatric Provider Knowledge of Neurodevelopmental Outcomes</t>
  </si>
  <si>
    <t>Kelly</t>
  </si>
  <si>
    <t>Kelly 2017</t>
  </si>
  <si>
    <t>10.1016/j.pedhc.2016.12.006</t>
  </si>
  <si>
    <t>An Assessment of Health Outcomes and Methylmercury Exposure in Munduruku Indigenous Women of Childbearing Age and Their Children under 2 Years Old</t>
  </si>
  <si>
    <t>Kempton</t>
  </si>
  <si>
    <t>Kempton 2021</t>
  </si>
  <si>
    <t>10.3390/ijerph181910091</t>
  </si>
  <si>
    <t>Adolescence as a sensitive period for neurotoxicity: Lifespan developmental effects of methylmercury</t>
  </si>
  <si>
    <t>Kendricks</t>
  </si>
  <si>
    <t>Kendricks 2022</t>
  </si>
  <si>
    <t>10.1016/j.pbb.2022.173389</t>
  </si>
  <si>
    <t>Lead exposure, gestational hypertension and pre-eclampsia: a systematic review of cause and effect</t>
  </si>
  <si>
    <t>Kennedy</t>
  </si>
  <si>
    <t>Kennedy 2012</t>
  </si>
  <si>
    <t>10.3109/01443615.2012.693987</t>
  </si>
  <si>
    <t>Altered urinary porphyrins and mercury exposure as biomarkers for autism severity in Egyptian children with autism spectrum disorder</t>
  </si>
  <si>
    <t>Khaled</t>
  </si>
  <si>
    <t>Khaled 2016</t>
  </si>
  <si>
    <t>10.1007/s11011-016-9870-6</t>
  </si>
  <si>
    <t>ASD, exposure data</t>
  </si>
  <si>
    <t>Ever increasing number of the animal model systems for attention deficit/hyperactivity disorder: Attention, please</t>
  </si>
  <si>
    <t>Kim</t>
  </si>
  <si>
    <t>Kim 2008</t>
  </si>
  <si>
    <t>10.4062/biomolther.2008.16.4.312</t>
  </si>
  <si>
    <t>Hair mercury concentrations of children and mothers in Korea: implication for exposure and evaluation</t>
  </si>
  <si>
    <t>10.1016/j.scitotenv.2008.04.010</t>
  </si>
  <si>
    <t>Co-exposure to environmental lead and manganese affects the intelligence of school-aged children</t>
  </si>
  <si>
    <t>Kim 2009</t>
  </si>
  <si>
    <t>10.1016/j.neuro.2009.03.012</t>
  </si>
  <si>
    <t>Unstandardized beta</t>
  </si>
  <si>
    <t>Effects of blood lead concentration on intelligence and personality in school children</t>
  </si>
  <si>
    <t>Kim 2010</t>
  </si>
  <si>
    <t>10.1007/s13273-010-0003-8</t>
  </si>
  <si>
    <t>Warning : uncommon test used for IQ measurement</t>
  </si>
  <si>
    <t>Bayesian spatial modeling of disease risk in relation to multivariate environmental risk fields</t>
  </si>
  <si>
    <t>10.1002/sim.3777</t>
  </si>
  <si>
    <t>Prenatal lead and cadmium co-exposure and infant neurodevelopment at 6 months of age: the Mothers and Children's Environmental Health (MOCEH) study</t>
  </si>
  <si>
    <t>Kim 2013</t>
  </si>
  <si>
    <t>10.1016/j.neuro.2012.11.006</t>
  </si>
  <si>
    <t>Erratum to: "Prenatal lead and cadmium co-exposure and infant neurodevelopment at 6 months of age: The Mothers and Children's Environmental Health (MOCEH) study" [NeuroToxicology 35 (2013) 15-22]</t>
  </si>
  <si>
    <t>10.1016/j.neuro.2013.04.009</t>
  </si>
  <si>
    <t>Iron deficiency increases blood concentrations of neurotoxic metals in children</t>
  </si>
  <si>
    <t>Kim 2014</t>
  </si>
  <si>
    <t>10.3345/kjp.2014.57.8.345</t>
  </si>
  <si>
    <t>Association between maternal exposure to major phthalates, heavy metals, and persistent organic pollutants, and the neurodevelopmental performances of their children at 1 to 2years of age- CHECK cohort study</t>
  </si>
  <si>
    <t>Kim 2018</t>
  </si>
  <si>
    <t>10.1016/j.scitotenv.2017.12.058</t>
  </si>
  <si>
    <t>Prenatal mercury exposure, fish intake and neurocognitive development during first three years of life: Prospective cohort mothers and Children's environmental health (MOCEH) study</t>
  </si>
  <si>
    <t>2018b</t>
  </si>
  <si>
    <t>Kim 2018b</t>
  </si>
  <si>
    <t>10.1016/j.scitotenv.2017.10.014</t>
  </si>
  <si>
    <t>Adverse effects of prenatal mercury exposure on neurodevelopment during the first 3 years of life modified by early growth velocity and prenatal maternal folate level</t>
  </si>
  <si>
    <t>Kim 2020</t>
  </si>
  <si>
    <t>10.1016/j.envres.2020.109909</t>
  </si>
  <si>
    <t>Altered Cerebral Curvature in Preterm Infants Is Associated with the Common Genetic Variation Related to Autism Spectrum Disorder and Lipid Metabolism</t>
  </si>
  <si>
    <t>Kim 2022</t>
  </si>
  <si>
    <t>10.3390/jcm11113135</t>
  </si>
  <si>
    <t>Exposing the role of metals in neurological disorders: a focus on manganese</t>
  </si>
  <si>
    <t>10.1016/j.molmed.2022.04.011</t>
  </si>
  <si>
    <t>Ten years of progress in the Hokkaido birth cohort study on environment and children's health: cohort profile--updated 2013</t>
  </si>
  <si>
    <t>Kishi</t>
  </si>
  <si>
    <t>Kishi 2013</t>
  </si>
  <si>
    <t>10.1007/s12199-013-0357-3</t>
  </si>
  <si>
    <t>Comparison of models for calculating individual intellectual decline due to early lead exposure</t>
  </si>
  <si>
    <t>Kline</t>
  </si>
  <si>
    <t>Kline 2013</t>
  </si>
  <si>
    <t>Full text not retrieved, book chapter, probably methodo or background paper</t>
  </si>
  <si>
    <t>The effect of blood lead concentration on EEG, brain electrical activity mapping and psychological test results in children</t>
  </si>
  <si>
    <t>Kmiecik-Malecka</t>
  </si>
  <si>
    <t>Kmiecik-Malecka 2009</t>
  </si>
  <si>
    <t>Impact of prenatal exposure to mercury and selenium on neurodevelopmental delay in children in the Japan environment and Children's study using the ASQ-3 questionnaire: A prospective birth cohort</t>
  </si>
  <si>
    <t>Kobayashi</t>
  </si>
  <si>
    <t>Kobayashi 2022</t>
  </si>
  <si>
    <t>10.1016/j.envint.2022.107448</t>
  </si>
  <si>
    <t>The Single and Combined Effects of Prenatal Nonchemical Stressors and Lead Exposure on Neurodevelopmental Outcomes in Toddlers: Results from the CCREOH Environmental Epidemiologic Study in Suriname</t>
  </si>
  <si>
    <t>Koendjbiharie</t>
  </si>
  <si>
    <t>Koendjbiharie 2023</t>
  </si>
  <si>
    <t>10.3390/children10020287</t>
  </si>
  <si>
    <t>Total Mercury and Methyl Mercury in Blood of Inhabitant and Their Associated Modelling Prediction Evaluation in Typical Lead-Zinc Mining Region, Guizhou Province, China</t>
  </si>
  <si>
    <t>Kong</t>
  </si>
  <si>
    <t>Kong 2021</t>
  </si>
  <si>
    <t>10.13198/j.issn.1001-6929.2021.03.08</t>
  </si>
  <si>
    <t>Association of maternal and child blood lead and hemoglobin levels with maternal perceptions of parenting their young children</t>
  </si>
  <si>
    <t>Kordas</t>
  </si>
  <si>
    <t>Kordas 2011</t>
  </si>
  <si>
    <t>10.1016/j.neuro.2011.09.001</t>
  </si>
  <si>
    <t>Patterns of exposure to multiple metals and associations with neurodevelopment of preschool children from Montevideo, Uruguay</t>
  </si>
  <si>
    <t>Kordas 2015</t>
  </si>
  <si>
    <t>10.1155/2015/493471</t>
  </si>
  <si>
    <t>Hyperoxia Leads to Transient Endocrine Alterations in the Neonatal Rat During Postnatal Development</t>
  </si>
  <si>
    <t>Kowallick</t>
  </si>
  <si>
    <t>Kowallick 2021</t>
  </si>
  <si>
    <t>10.3389/fped.2021.723928</t>
  </si>
  <si>
    <t>Lead levels in human milk and children's health risk: a systematic review</t>
  </si>
  <si>
    <t>Koyashiki</t>
  </si>
  <si>
    <t>Koyashiki 2010</t>
  </si>
  <si>
    <t>10.1515/reveh.2010.25.3.243</t>
  </si>
  <si>
    <t>Estimating the causal effect of prenatal lead exposure on prepulse inhibition deficits in children and adolescents</t>
  </si>
  <si>
    <t>Kponee-Shovein</t>
  </si>
  <si>
    <t>Kponee-Shovein 2020</t>
  </si>
  <si>
    <t>10.1016/j.neuro.2020.02.013</t>
  </si>
  <si>
    <t>[Developmental neurotoxicity of industrial chemicals]</t>
  </si>
  <si>
    <t>Labie</t>
  </si>
  <si>
    <t>Labie 2007</t>
  </si>
  <si>
    <t>10.1051/medsci/20072310868</t>
  </si>
  <si>
    <t>Disease burden of methylmercury in the German birth cohort 2014</t>
  </si>
  <si>
    <t>Lackner</t>
  </si>
  <si>
    <t>Lackner 2018</t>
  </si>
  <si>
    <t>10.1371/journal.pone.0190409</t>
  </si>
  <si>
    <t>Determination of lead levels in maternal and umbilical cord blood at birth at the Lagos University Teaching Hospital, Lagos</t>
  </si>
  <si>
    <t>Ladele</t>
  </si>
  <si>
    <t>Ladele 2019</t>
  </si>
  <si>
    <t>10.1371/journal.pone.0211535</t>
  </si>
  <si>
    <t>Somatic variants in diverse genes leads to a spectrum of focal cortical malformations</t>
  </si>
  <si>
    <t>Lai</t>
  </si>
  <si>
    <t>Lai 2022</t>
  </si>
  <si>
    <t>10.1093/brain/awac117</t>
  </si>
  <si>
    <t>Human milk biomonitoring data: interpretation and risk assessment issues</t>
  </si>
  <si>
    <t>LaKind</t>
  </si>
  <si>
    <t>LaKind 2005</t>
  </si>
  <si>
    <t>10.1080/15287390500225724</t>
  </si>
  <si>
    <t>USING THE SEYCHELLES CHILD DEVELOPMENT STUDY TO CLUSTER MULTIPLE OUTCOMES INTO DOMAINS TO IMPROVE ESTIMATION OF THE OVERALL EFFECT OF MERCURY ON NEURODEVELOPMENT</t>
  </si>
  <si>
    <t>Lalonde</t>
  </si>
  <si>
    <t>Lalonde 2018</t>
  </si>
  <si>
    <t>10.13164/ma.2018.05</t>
  </si>
  <si>
    <t>Discovering structure in multiple outcomes models for tests of childhood neurodevelopment</t>
  </si>
  <si>
    <t>LaLonde</t>
  </si>
  <si>
    <t>LaLonde 2020</t>
  </si>
  <si>
    <t>10.1111/biom.13174</t>
  </si>
  <si>
    <t>Risk factors associated with developing anxiety in Inuit adolescents from Nunavik</t>
  </si>
  <si>
    <t>Lamoureux-Tremblay</t>
  </si>
  <si>
    <t>Lamoureux-Tremblay 2020</t>
  </si>
  <si>
    <t>10.1016/j.ntt.2020.106903</t>
  </si>
  <si>
    <t>Prenatal chlorpyrifos leads to autism-like deficits in C57Bl6/J mice</t>
  </si>
  <si>
    <t>Lan</t>
  </si>
  <si>
    <t>Lan 2017</t>
  </si>
  <si>
    <t>10.1186/s12940-017-0251-3</t>
  </si>
  <si>
    <t>What causes autism? Exploring the environmental contribution</t>
  </si>
  <si>
    <t>Landrigan</t>
  </si>
  <si>
    <t>Landrigan 2010</t>
  </si>
  <si>
    <t>10.1097/MOP.0b013e328336eb9a</t>
  </si>
  <si>
    <t xml:space="preserve">wrong outcome, wrong study design </t>
  </si>
  <si>
    <t>Human Health and Ocean Pollution</t>
  </si>
  <si>
    <t>Landrigan 2020</t>
  </si>
  <si>
    <t>10.5334/aogh.2831</t>
  </si>
  <si>
    <t>Low-level environmental lead exposure and children's intellectual function: an international pooled analysis</t>
  </si>
  <si>
    <t>Lanphear</t>
  </si>
  <si>
    <t>10.1289/ehp.7688</t>
  </si>
  <si>
    <t>Lanphear 2019</t>
  </si>
  <si>
    <t>The conundrum of unmeasured confounding: Comment on: "Can some of the detrimental neurodevelopmental effects attributed to lead be due to pesticides? by Brian Gulson"</t>
  </si>
  <si>
    <t>Lanphear 2008</t>
  </si>
  <si>
    <t>10.1016/j.scitotenv.2008.01.039</t>
  </si>
  <si>
    <t>Erratum: Low-level environmental lead exposureand children's intellectual function: An international pooled analysis (Environ Health Perspect, (2005) 113(7), (894-899), 10.1289/ehp.7688)</t>
  </si>
  <si>
    <t>10.1289/EHP5685</t>
  </si>
  <si>
    <t>Developmental neurotoxicology of lead: Neurobehavioral and neurological impacts</t>
  </si>
  <si>
    <t>Lasley</t>
  </si>
  <si>
    <t>Lasley 2018</t>
  </si>
  <si>
    <t>10.1016/B978-0-12-809405-1.00037-7</t>
  </si>
  <si>
    <t>Relation between cord blood mercury levels and early child development in a World Trade Center cohort</t>
  </si>
  <si>
    <t>Lederman</t>
  </si>
  <si>
    <t>Lederman 2008</t>
  </si>
  <si>
    <t>10.1289/ehp.10831</t>
  </si>
  <si>
    <t>Stability of cognitive development during the first five years of life in relation to heavy metal concentrations in umbilical cord blood: Mothers' and Children's Environmental Health (MOCEH) birth cohort study</t>
  </si>
  <si>
    <t>Lee</t>
  </si>
  <si>
    <t>Lee 2017</t>
  </si>
  <si>
    <t>10.1016/j.scitotenv.2017.07.074</t>
  </si>
  <si>
    <t>Warning : longitudinal analysis (over time)</t>
  </si>
  <si>
    <t>Anthropometric measures at birth and early childhood are associated with neurodevelopmental outcomes among Bangladeshi children aged 2â€“3Â years</t>
  </si>
  <si>
    <t>10.1016/j.scitotenv.2017.06.168</t>
  </si>
  <si>
    <t xml:space="preserve">wrong exposure, wrong outcome, wrong study design </t>
  </si>
  <si>
    <t>Perfluoroalkyl substances exposure and thyroid hormones in humans: epidemiological observations and implications</t>
  </si>
  <si>
    <t>10.6065/apem.2017.22.1.6</t>
  </si>
  <si>
    <t>Heavy Metals' Effect on Susceptibility to Attention-Deficit/Hyperactivity Disorder: Implication of Lead, Cadmium, and Antimony</t>
  </si>
  <si>
    <t>Lee 2018</t>
  </si>
  <si>
    <t>10.3390/ijerph15061221</t>
  </si>
  <si>
    <t>Prenatal and postnatal exposures to four metals mixture and IQ in 6-year-old children: A prospective cohort study in South Korea</t>
  </si>
  <si>
    <t>Lee 2021</t>
  </si>
  <si>
    <t>10.1016/j.envint.2021.106798</t>
  </si>
  <si>
    <t>Effect of childhood proximity to lead mining on late life cognition</t>
  </si>
  <si>
    <t>Lee 2022</t>
  </si>
  <si>
    <t>10.1016/j.ssmph.2022.101037</t>
  </si>
  <si>
    <t>A systematic review of the biological, social, and environmental determinants of intellectual disability in children and adolescents</t>
  </si>
  <si>
    <t>Leonard</t>
  </si>
  <si>
    <t>Leonard 2022</t>
  </si>
  <si>
    <t>10.3389/fpsyt.2022.926681</t>
  </si>
  <si>
    <t>Association of Maternal Neurodevelopmental Risk Alleles With Early-Life Exposures</t>
  </si>
  <si>
    <t>Leppert</t>
  </si>
  <si>
    <t>Leppert 2019</t>
  </si>
  <si>
    <t>10.1001/jamapsychiatry.2019.0774</t>
  </si>
  <si>
    <t>Exposure to fine particle matter, nitrogen dioxide and benzene during pregnancy and cognitive and psychomotor developments in children at 15months of age</t>
  </si>
  <si>
    <t>Lertxundi</t>
  </si>
  <si>
    <t>Lertxundi 2015</t>
  </si>
  <si>
    <t>10.1016/j.envint.2015.03.007</t>
  </si>
  <si>
    <t>A Significant Factor in Autism: Methyl Mercury Induced Oxidative Stress in Genetically Susceptible Individuals</t>
  </si>
  <si>
    <t>Leslie</t>
  </si>
  <si>
    <t>Leslie 2011</t>
  </si>
  <si>
    <t>10.1007/s10882-011-9230-8</t>
  </si>
  <si>
    <t>ASD, review</t>
  </si>
  <si>
    <t>Dysregulation of the chromatin environment leads to differential alternative splicing as a mechanism of disease in a human model of autism spectrum disorder</t>
  </si>
  <si>
    <t>Leung</t>
  </si>
  <si>
    <t>Leung 2023</t>
  </si>
  <si>
    <t>10.1093/hmg/ddad002</t>
  </si>
  <si>
    <t>Public Health Consequences of Lead in Drinking Water</t>
  </si>
  <si>
    <t>Levallois</t>
  </si>
  <si>
    <t>Levallois 2018</t>
  </si>
  <si>
    <t>10.1007/s40572-018-0193-0</t>
  </si>
  <si>
    <t>Time-varying associations between prenatal metal mixtures and rapid visual processing in children</t>
  </si>
  <si>
    <t>Levin-Schwartz</t>
  </si>
  <si>
    <t>Levin-Schwartz 2019</t>
  </si>
  <si>
    <t>10.1186/s12940-019-0526-y</t>
  </si>
  <si>
    <t>Only visual processing</t>
  </si>
  <si>
    <t>Multi-media biomarkers: Integrating information to improve lead exposure assessment</t>
  </si>
  <si>
    <t>Levin-Schwartz 2020</t>
  </si>
  <si>
    <t>10.1016/j.envres.2020.109148</t>
  </si>
  <si>
    <t>Multimedia exposure (blood, hair, nail) + results from the PHIME cohorts presented in Barbone 2019</t>
  </si>
  <si>
    <t>Integrated measures of lead and manganese exposure improve estimation of their joint effects on cognition in Italian school-age children</t>
  </si>
  <si>
    <t>Levin-Schwartz 2021</t>
  </si>
  <si>
    <t>10.1016/j.envint.2020.106312</t>
  </si>
  <si>
    <t>ERF update, Exposure data</t>
  </si>
  <si>
    <t xml:space="preserve">Unclear increment </t>
  </si>
  <si>
    <t>An evaluation of surrogate chemical exposure measures and autism prevalence in Texas</t>
  </si>
  <si>
    <t>Lewandowski</t>
  </si>
  <si>
    <t>Lewandowski 2009</t>
  </si>
  <si>
    <t>10.1080/15287390903232483</t>
  </si>
  <si>
    <t>[Impact of antioxidant vitamins and heavy metal levels at birth on neurodevelopment of children assessed at two years of age]</t>
  </si>
  <si>
    <t>Li</t>
  </si>
  <si>
    <t>Li 2011</t>
  </si>
  <si>
    <t>Transcriptomic analyses of neurotoxic effects in mouse brain after intermittent neonatal administration of thimerosal</t>
  </si>
  <si>
    <t>Li 2014</t>
  </si>
  <si>
    <t>10.1093/toxsci/kfu049</t>
  </si>
  <si>
    <t>Lead Exposure during Early Human Development and DNA Methylation of Imprinted Gene Regulatory Elements in Adulthood</t>
  </si>
  <si>
    <t>Li 2016</t>
  </si>
  <si>
    <t>10.1289/ehp.1408577</t>
  </si>
  <si>
    <t>windows</t>
  </si>
  <si>
    <t>Contemporary blood lead levels of children aged 0-84 months in China: A national cross-sectional study</t>
  </si>
  <si>
    <t>Li 2020</t>
  </si>
  <si>
    <t>10.1016/j.envint.2019.105288</t>
  </si>
  <si>
    <t>2020 edition of the Rourke Baby record</t>
  </si>
  <si>
    <t>Li 2021</t>
  </si>
  <si>
    <t>10.46747/cfp.6707488</t>
  </si>
  <si>
    <t>Microstructural white matter abnormalities in pediatric and adult obsessive-compulsive disorder: A systematic review and meta-analysis</t>
  </si>
  <si>
    <t>10.1002/brb3.1975</t>
  </si>
  <si>
    <t xml:space="preserve">wrong outcome, wrong exposure, wrong study design </t>
  </si>
  <si>
    <t>Time for a change in blood lead reference value for Chinese children</t>
  </si>
  <si>
    <t>10.1016/j.chemosphere.2020.128868</t>
  </si>
  <si>
    <t>Modification by genetic polymorphism of lead-induced IQ alteration: a systematic review</t>
  </si>
  <si>
    <t>Lima</t>
  </si>
  <si>
    <t>Lima 2022</t>
  </si>
  <si>
    <t>10.1007/s11356-022-19981-7</t>
  </si>
  <si>
    <t>exposure data, review</t>
  </si>
  <si>
    <t>In utero exposure to environmental lead and manganese and neurodevelopment at 2 years of age</t>
  </si>
  <si>
    <t>Lin</t>
  </si>
  <si>
    <t>Lin 2013</t>
  </si>
  <si>
    <t>10.1016/j.envres.2013.03.003</t>
  </si>
  <si>
    <t>Categories of exposure</t>
  </si>
  <si>
    <t>Lead concentration in meat from lead-killed moose and predicted human exposure using Monte Carlo simulation</t>
  </si>
  <si>
    <t>Lindboe</t>
  </si>
  <si>
    <t>Lindboe 2012</t>
  </si>
  <si>
    <t>10.1080/19440049.2012.680201</t>
  </si>
  <si>
    <t>The relationship between mental retardation and developmental delays in children and the levels of arsenic, mercury and lead in soil samples taken near their mother's residence during pregnancy</t>
  </si>
  <si>
    <t>Liu</t>
  </si>
  <si>
    <t>Liu 2010</t>
  </si>
  <si>
    <t>10.1016/j.ijheh.2009.12.004</t>
  </si>
  <si>
    <t>Impact of low blood lead concentrations on IQ and school performance in Chinese children</t>
  </si>
  <si>
    <t>Liu 2013</t>
  </si>
  <si>
    <t>10.1371/journal.pone.0065230</t>
  </si>
  <si>
    <t>Non linear relationship (Figure 1)</t>
  </si>
  <si>
    <t>Neurotoxicity and biomarkers of lead exposure: a review</t>
  </si>
  <si>
    <t>2013b</t>
  </si>
  <si>
    <t>Liu 2013b</t>
  </si>
  <si>
    <t>10.1016/s1001-9294(13)60045-0</t>
  </si>
  <si>
    <t>Blood lead concentrations and children's behavioral and emotional problems: A cohort study</t>
  </si>
  <si>
    <t>Liu 2014</t>
  </si>
  <si>
    <t>10.1001/jamapediatrics.2014.332</t>
  </si>
  <si>
    <t>Lead exposure at each stage of pregnancy and neurobehavioral development of neonates</t>
  </si>
  <si>
    <t>10.1016/j.neuro.2014.03.003</t>
  </si>
  <si>
    <t>Prenatal and postnatal lead exposure and cognitive development of infants followed over the first three years of life: a prospective birth study in the Pearl River Delta region, China</t>
  </si>
  <si>
    <t>10.1016/j.neuro.2014.07.001</t>
  </si>
  <si>
    <t>Assessment of association between the dopamine D2 receptor (DRD2) polymorphism and neurodevelopment of children exposed to lead</t>
  </si>
  <si>
    <t>Liu 2015</t>
  </si>
  <si>
    <t>10.1007/s11356-014-2565-9</t>
  </si>
  <si>
    <t>Bayesian varying coefficient kernel machine regression to assess neurodevelopmental trajectories associated with exposure to complex mixtures</t>
  </si>
  <si>
    <t>Liu 2018</t>
  </si>
  <si>
    <t>10.1002/sim.7947</t>
  </si>
  <si>
    <t>Longitudinal analysis of trajectories</t>
  </si>
  <si>
    <t>Association of both prenatal and early childhood multiple metals exposure with neurodevelopment in infant: A prospective cohort study</t>
  </si>
  <si>
    <t>Liu 2022</t>
  </si>
  <si>
    <t>10.1016/j.envres.2021.112450</t>
  </si>
  <si>
    <t>Prenatal exposure to mercury and infant neurodevelopment in a multicenter cohort in Spain: study of potential modifiers</t>
  </si>
  <si>
    <t>Llop</t>
  </si>
  <si>
    <t>Llop 2012</t>
  </si>
  <si>
    <t>10.1093/aje/kwr328</t>
  </si>
  <si>
    <t>Gender differences in the neurotoxicity of metals in children</t>
  </si>
  <si>
    <t>Llop 2013</t>
  </si>
  <si>
    <t>10.1016/j.tox.2013.04.015</t>
  </si>
  <si>
    <t>CYP3A genes and the association between prenatal methylmercury exposure and neurodevelopment</t>
  </si>
  <si>
    <t>Llop 2017</t>
  </si>
  <si>
    <t>10.1016/j.envint.2017.04.013</t>
  </si>
  <si>
    <t>Prenatal exposure to mercury and neuropsychological development in young children: the role of fish consumption</t>
  </si>
  <si>
    <t>2017b</t>
  </si>
  <si>
    <t>Llop 2017b</t>
  </si>
  <si>
    <t>10.1093/ije/dyw259</t>
  </si>
  <si>
    <t>A risk-benefit analysis of wild fish consumption for various species in Alaska reveals shortcomings in data and monitoring needs</t>
  </si>
  <si>
    <t>Loring</t>
  </si>
  <si>
    <t>Loring 2010</t>
  </si>
  <si>
    <t>10.1016/j.scitotenv.2010.07.013</t>
  </si>
  <si>
    <t>Finding vulnerable subpopulations in the Seychelles Child Development Study: effect modification with latent groups</t>
  </si>
  <si>
    <t>Love</t>
  </si>
  <si>
    <t>Love 2017</t>
  </si>
  <si>
    <t>10.1177/0962280214560044</t>
  </si>
  <si>
    <t>Wrong exposure, wrong study design</t>
  </si>
  <si>
    <t>Contribution of child ABC-transporter genetics to prenatal MeHg exposure and neurodevelopment</t>
  </si>
  <si>
    <t>Love 2022</t>
  </si>
  <si>
    <t>10.1016/j.neuro.2022.05.019</t>
  </si>
  <si>
    <t>Sex-specific associations between cord blood lead and neurodevelopment in early life: The mother-child cohort (Shanghai, China)</t>
  </si>
  <si>
    <t>Lu</t>
  </si>
  <si>
    <t>Lu 2023</t>
  </si>
  <si>
    <t>10.1016/j.ecoenv.2022.114337</t>
  </si>
  <si>
    <t>Inverse association of intellectual function with very low blood lead but not with manganese exposure in Italian adolescents</t>
  </si>
  <si>
    <t>Lucchini</t>
  </si>
  <si>
    <t>Lucchini 2012</t>
  </si>
  <si>
    <t>10.1016/j.envres.2012.08.003</t>
  </si>
  <si>
    <t>Neurocognitive impact of metal exposure and social stressors among schoolchildren in Taranto, Italy</t>
  </si>
  <si>
    <t>Lucchini 2019</t>
  </si>
  <si>
    <t>10.1186/s12940-019-0505-3</t>
  </si>
  <si>
    <t>ERF update, mixture, SES</t>
  </si>
  <si>
    <t>Testing the script-relativity hypothesis: expertise in reading Chinese versus English is associated with better arithmetic skills</t>
  </si>
  <si>
    <t>Lui</t>
  </si>
  <si>
    <t>Lui 2022</t>
  </si>
  <si>
    <t>10.1007/s11145-021-10227-5</t>
  </si>
  <si>
    <t>Observation and modeling of deep brain stimulation electrode depth in the pallidal target of the developing brain</t>
  </si>
  <si>
    <t>Lumsden</t>
  </si>
  <si>
    <t>Lumsden 2015</t>
  </si>
  <si>
    <t>10.1016/j.wneu.2015.01.012</t>
  </si>
  <si>
    <t>The effect of lead on the avian auditory brainstem</t>
  </si>
  <si>
    <t>Lurie</t>
  </si>
  <si>
    <t>Lurie 2006</t>
  </si>
  <si>
    <t>10.1016/j.neuro.2005.07.005</t>
  </si>
  <si>
    <t>A profile and review of findings from the Early Markers for Autism study: unique contributions from a population-based case-control study in California</t>
  </si>
  <si>
    <t>Lyall</t>
  </si>
  <si>
    <t>Lyall 2021</t>
  </si>
  <si>
    <t>10.1186/s13229-021-00429-7</t>
  </si>
  <si>
    <t>Prenatal exposure to dental amalgam and risk of symptoms of attention-deficit and hyperactivity disorder (ADHD)</t>
  </si>
  <si>
    <t>Lygre</t>
  </si>
  <si>
    <t>Lygre 2018</t>
  </si>
  <si>
    <t>10.1111/cdoe.12409</t>
  </si>
  <si>
    <t>Varying coefficient function models to explore interactions between maternal nutritional status and prenatal methylmercury toxicity in the Seychelles Child Development Nutrition Study</t>
  </si>
  <si>
    <t>Lynch</t>
  </si>
  <si>
    <t>Lynch 2011</t>
  </si>
  <si>
    <t>10.1016/j.envres.2010.09.005</t>
  </si>
  <si>
    <t>Placental DNA Methylation Related to Both Infant Toenail Mercury and Adverse Neurobehavioral Outcomes</t>
  </si>
  <si>
    <t>Maccani</t>
  </si>
  <si>
    <t>Maccani 2015</t>
  </si>
  <si>
    <t>10.1289/ehp.1408561</t>
  </si>
  <si>
    <t>Randomized controlled trial demonstrates that exposure to mercury from dental amalgam does not adversely affect neurological development in children</t>
  </si>
  <si>
    <t>Mackert</t>
  </si>
  <si>
    <t>Mackert 2010</t>
  </si>
  <si>
    <t>10.1016/j.jebdp.2009.11.010</t>
  </si>
  <si>
    <t>Zinc protoporphyrin and Iron deficiency screening: Trends and therapeutic response in an Urban pediatric center</t>
  </si>
  <si>
    <t>Magge</t>
  </si>
  <si>
    <t>Magge 2013</t>
  </si>
  <si>
    <t>10.1001/jamapediatrics.2013.751</t>
  </si>
  <si>
    <t>Adverse neurodevelopmental outcomes after exposure to phenobarbital and levetiracetam for the treatment of neonatal seizures</t>
  </si>
  <si>
    <t>Maitre</t>
  </si>
  <si>
    <t>Maitre 2013</t>
  </si>
  <si>
    <t>10.1038/jp.2013.116</t>
  </si>
  <si>
    <t>Does fetal growth restriction lead to increased brain injury as detected by neonatal cranial ultrasound in premature infants?</t>
  </si>
  <si>
    <t>Malhotra</t>
  </si>
  <si>
    <t>Malhotra 2015</t>
  </si>
  <si>
    <t>10.1111/jpc.12910</t>
  </si>
  <si>
    <t>wrong exposure, wrong outcome</t>
  </si>
  <si>
    <t>Assessment of lead contamination on aquatic habitat and street snacks in makassar coastal area, indonesia</t>
  </si>
  <si>
    <t>Mallongi</t>
  </si>
  <si>
    <t>Mallongi 2018</t>
  </si>
  <si>
    <t>10.5958/0976-5506.2018.00934.8</t>
  </si>
  <si>
    <t>Leachable lead and cadmium in microwave-heated ceramic cups: possible health hazard to human</t>
  </si>
  <si>
    <t>Mandal</t>
  </si>
  <si>
    <t>Mandal 2018</t>
  </si>
  <si>
    <t>10.1007/s11356-018-2944-8</t>
  </si>
  <si>
    <t>Race and the new epigenetic biopolitics of environmental health</t>
  </si>
  <si>
    <t>Mansfield</t>
  </si>
  <si>
    <t>Mansfield 2012</t>
  </si>
  <si>
    <t>10.1057/biosoc.2012.22</t>
  </si>
  <si>
    <t>Lead and conduct problems: a meta-analysis</t>
  </si>
  <si>
    <t>Marcus</t>
  </si>
  <si>
    <t>Marcus 2010</t>
  </si>
  <si>
    <t>10.1080/15374411003591455</t>
  </si>
  <si>
    <t>Decabrominated diphenyl ether and methylmercury impair fetal nervous system development in mice at documented human exposure levels</t>
  </si>
  <si>
    <t>Mariani</t>
  </si>
  <si>
    <t>Mariani 2015</t>
  </si>
  <si>
    <t>10.1002/dneu.22208</t>
  </si>
  <si>
    <t>Dietary exposure to trace elements and health risk assessment in the region of Valencia, Spain: a total diet study</t>
  </si>
  <si>
    <t>Marin</t>
  </si>
  <si>
    <t>Marin 2017</t>
  </si>
  <si>
    <t>10.1080/19440049.2016.1268273</t>
  </si>
  <si>
    <t>Changes in children hair-Hg concentrations during the first 5 years: maternal, environmental and iatrogenic modifying factors</t>
  </si>
  <si>
    <t>Marques</t>
  </si>
  <si>
    <t>Marques 2007</t>
  </si>
  <si>
    <t>10.1016/j.yrtph.2007.05.001</t>
  </si>
  <si>
    <t>Hair mercury in breast-fed infants exposed to thimerosal-preserved vaccines</t>
  </si>
  <si>
    <t>10.1007/s00431-006-0362-2</t>
  </si>
  <si>
    <t>Maternal mercury exposure and neuro-motor development in breastfed infants from Porto Velho (Amazon), Brazil</t>
  </si>
  <si>
    <t>10.1016/j.ijheh.2006.08.001</t>
  </si>
  <si>
    <t>Principal component analysis and discrimination of variables associated with pre- and post-natal exposure to mercury</t>
  </si>
  <si>
    <t>Marques 2008</t>
  </si>
  <si>
    <t>10.1016/j.ijheh.2007.09.008</t>
  </si>
  <si>
    <t>Prenatal and postnatal mercury exposure, breastfeeding and neurodevelopment during the first 5 years</t>
  </si>
  <si>
    <t>Marques 2009</t>
  </si>
  <si>
    <t>10.1097/WNN.0b013e3181a72248</t>
  </si>
  <si>
    <t>Wrong outcome, wrong exposure</t>
  </si>
  <si>
    <t>Thimerosal exposure (from tetanus-diphtheria vaccine) during pregnancy and neurodevelopment of breastfed infants at 6 months</t>
  </si>
  <si>
    <t>Marques 2010</t>
  </si>
  <si>
    <t>10.1111/j.1651-2227.2009.01641.x</t>
  </si>
  <si>
    <t>Hydroelectric reservoir inundation (Rio Madeira Basin, Amazon) and changes in traditional lifestyle: Impact on growth and neurodevelopment of pre-school children</t>
  </si>
  <si>
    <t>Marques 2011</t>
  </si>
  <si>
    <t>10.1017/S136898001000248X</t>
  </si>
  <si>
    <t>Role of methylmercury exposure (from fish consumption) on growth and neurodevelopment of children under 5 years of age living in a transitioning (tin-mining) area of the western Amazon, Brazil</t>
  </si>
  <si>
    <t>Marques 2012</t>
  </si>
  <si>
    <t>10.1007/s00244-011-9697-4</t>
  </si>
  <si>
    <t>EXcluded</t>
  </si>
  <si>
    <t>Mercury transfer during pregnancy and breastfeeding: hair mercury concentrations as biomarker</t>
  </si>
  <si>
    <t>Marques 2013</t>
  </si>
  <si>
    <t>10.1007/s12011-013-9743-3</t>
  </si>
  <si>
    <t>Perinatal multiple exposure to neurotoxic (lead, methylmercury, ethylmercury, and aluminum) substances and neurodevelopment at six and 24 months of age</t>
  </si>
  <si>
    <t>Marques 2014</t>
  </si>
  <si>
    <t>10.1016/j.envpol.2014.01.004</t>
  </si>
  <si>
    <t xml:space="preserve">BSID/MDI association </t>
  </si>
  <si>
    <t>Neurodevelopment outcomes in children exposed to organic mercury from multiple sources in a tin-ore mine environment in Brazil</t>
  </si>
  <si>
    <t>Marques 2015</t>
  </si>
  <si>
    <t>10.1007/s00244-014-0103-x</t>
  </si>
  <si>
    <t>Impact of organic mercury exposure and home delivery on neurodevelopment of Amazonian children</t>
  </si>
  <si>
    <t>Marques 2016</t>
  </si>
  <si>
    <t>10.1016/j.ijheh.2016.05.002</t>
  </si>
  <si>
    <t>Neurodevelopment of Amazonian children exposed to ethylmercury (from Thimerosal in vaccines) and methylmercury (from fish)</t>
  </si>
  <si>
    <t>10.1016/j.envres.2015.12.022</t>
  </si>
  <si>
    <t>Traditional living in the Amazon: Extended breastfeeding, fish consumption, mercury exposure and neurodevelopment</t>
  </si>
  <si>
    <t>10.1080/03014460.2016.1189962</t>
  </si>
  <si>
    <t>Data relating neurodevelopment of exclusively breastfed children of urban mothers and pre- and post-natal mercury exposure</t>
  </si>
  <si>
    <t>Marques 2019</t>
  </si>
  <si>
    <t>10.1016/j.dib.2019.104283</t>
  </si>
  <si>
    <t>Data relating to maternal fish consumption, methylmercury exposure, and early child neurodevelopment in the traditional living of Western Amazonians</t>
  </si>
  <si>
    <t>10.1016/j.dib.2019.104153</t>
  </si>
  <si>
    <t>The association of dental caries with blood lead in children when adjusted for IQ and neurobehavioral performance</t>
  </si>
  <si>
    <t>Martin</t>
  </si>
  <si>
    <t>Martin 2007</t>
  </si>
  <si>
    <t>10.1016/j.scitotenv.2006.12.049</t>
  </si>
  <si>
    <t>Wrong outcome, wrong study design</t>
  </si>
  <si>
    <t>Co-exposure to manganese and lead and pediatric neurocognition in East Liverpool, Ohio</t>
  </si>
  <si>
    <t>Martin 2021</t>
  </si>
  <si>
    <t>10.1016/j.envres.2021.111644</t>
  </si>
  <si>
    <t>Stratified results only</t>
  </si>
  <si>
    <t>Contribution of diet to lead exposure among children aged 1 to 7 years in La Plata, Buenos Aires</t>
  </si>
  <si>
    <t>Martins</t>
  </si>
  <si>
    <t>Martins 2018</t>
  </si>
  <si>
    <t>10.5546/aap.2018.eng.14</t>
  </si>
  <si>
    <t>Lead exposure in young school children in South African subsistence fishing communities</t>
  </si>
  <si>
    <t>Mathee</t>
  </si>
  <si>
    <t>Mathee 2013</t>
  </si>
  <si>
    <t>10.1016/j.envres.2013.05.009</t>
  </si>
  <si>
    <t>The role of the South African Medical Research Council in reducing lead exposure and preventing lead poisoning in South Africa</t>
  </si>
  <si>
    <t>Mathee 2019</t>
  </si>
  <si>
    <t>10.7196/SAMJ.2019.v109i11b.14271</t>
  </si>
  <si>
    <t>wrong outcome, wrong setting, wrong study design</t>
  </si>
  <si>
    <t>Adolescent high-fructose corn syrup consumption leads to dysfunction in adult affective behaviors and mesolimbic proteins in male Sprague-Dawley rats</t>
  </si>
  <si>
    <t>Maya-Romero</t>
  </si>
  <si>
    <t>Maya-Romero 2022</t>
  </si>
  <si>
    <t>10.1016/j.bbr.2021.113687</t>
  </si>
  <si>
    <t>Low-level environmental lead exposure in childhood and adult intellectual function: a follow-up study</t>
  </si>
  <si>
    <t>Mazumdar</t>
  </si>
  <si>
    <t>Mazumdar 2011</t>
  </si>
  <si>
    <t>10.1186/1476-069x-10-24</t>
  </si>
  <si>
    <t>IQ in adults</t>
  </si>
  <si>
    <t>Lead, Flint, and Grandfather</t>
  </si>
  <si>
    <t>Mazur</t>
  </si>
  <si>
    <t>Mazur 2016</t>
  </si>
  <si>
    <t>10.1007/s12115-016-0059-8</t>
  </si>
  <si>
    <t>Revising the national ambient air quality standard for lead</t>
  </si>
  <si>
    <t>McCarthy</t>
  </si>
  <si>
    <t>McCarthy 2010</t>
  </si>
  <si>
    <t>Does in utero exposure of antiepileptic drugs lead to failure to reach full cognitive potential?</t>
  </si>
  <si>
    <t>McCorry</t>
  </si>
  <si>
    <t>McCorry 2015</t>
  </si>
  <si>
    <t>10.1016/j.seizure.2015.01.019</t>
  </si>
  <si>
    <t>Probability of intellectual disability is associated with soil concentrations of arsenic and lead</t>
  </si>
  <si>
    <t>McDermott</t>
  </si>
  <si>
    <t>McDermott 2011</t>
  </si>
  <si>
    <t>10.1016/j.chemosphere.2011.02.088</t>
  </si>
  <si>
    <t>When are fetuses and young children most susceptible to soil metal concentrations of arsenic, lead and mercury?</t>
  </si>
  <si>
    <t>McDermott 2012</t>
  </si>
  <si>
    <t>10.1016/j.sste.2012.05.001</t>
  </si>
  <si>
    <t>Are different soil metals near the homes of pregnant women associated with mild and severe intellectual disability in children?</t>
  </si>
  <si>
    <t>McDermott 2014</t>
  </si>
  <si>
    <t>10.1111/dmcn.12442</t>
  </si>
  <si>
    <t>Half of US population exposed to adverse lead levels in early childhood</t>
  </si>
  <si>
    <t>McFarland</t>
  </si>
  <si>
    <t>McFarland 2022</t>
  </si>
  <si>
    <t>10.1073/pnas.2118631119</t>
  </si>
  <si>
    <t>EBD/HIA</t>
  </si>
  <si>
    <t>The 2014 FDA assessment of commercial fish: practical considerations for improved dietary guidance</t>
  </si>
  <si>
    <t>McGuire</t>
  </si>
  <si>
    <t>McGuire 2016</t>
  </si>
  <si>
    <t>10.1186/s12937-016-0182-9</t>
  </si>
  <si>
    <t>Environmental chemical hazards and child health</t>
  </si>
  <si>
    <t>Mello-da-Silva</t>
  </si>
  <si>
    <t>Mello-da-Silva 2005</t>
  </si>
  <si>
    <t>10.2223/JPED.1409</t>
  </si>
  <si>
    <t>Elevated manganese and cognitive performance in school-aged children and their mothers</t>
  </si>
  <si>
    <t>Menezes-Filho</t>
  </si>
  <si>
    <t>Menezes-Filho 2011</t>
  </si>
  <si>
    <t>10.1016/j.envres.2010.09.006</t>
  </si>
  <si>
    <t>Elevated manganese exposure and school-aged children's behavior: A gender-stratified analysis</t>
  </si>
  <si>
    <t>Menezes-Filho 2014</t>
  </si>
  <si>
    <t>10.1016/j.neuro.2013.09.006</t>
  </si>
  <si>
    <t>Manganese and lead in dust fall accumulation in elementary schools near a ferromanganese alloy plant</t>
  </si>
  <si>
    <t>Menezes-Filho 2016</t>
  </si>
  <si>
    <t>10.1016/j.envres.2016.03.041</t>
  </si>
  <si>
    <t>Environmental Co-Exposure to Lead and Manganese and Intellectual Deficit in School-Aged Children</t>
  </si>
  <si>
    <t>Menezes-Filho 2018</t>
  </si>
  <si>
    <t>10.3390/ijerph15112418</t>
  </si>
  <si>
    <t>Effects of chronic lead exposure on 1H MRS of hippocampus and frontal lobes in children</t>
  </si>
  <si>
    <t>Meng</t>
  </si>
  <si>
    <t>Meng 2005</t>
  </si>
  <si>
    <t>10.1212/01.Wnl.0000160391.58004.D4</t>
  </si>
  <si>
    <t>Prenatal trace elements mixture is associated with learning deficits on a behavioral acquisition task among young children</t>
  </si>
  <si>
    <t>Merced-Nieves</t>
  </si>
  <si>
    <t>Merced-Nieves 2022</t>
  </si>
  <si>
    <t>10.1002/cad.20458</t>
  </si>
  <si>
    <t>Sexually dimorphic associations between prenatal blood lead exposure and performance on a behavioral testing battery in children</t>
  </si>
  <si>
    <t>10.1016/j.ntt.2022.107075</t>
  </si>
  <si>
    <t>Developmental exposure to Pb(2+) induces transgenerational changes to zebrafish brain transcriptome</t>
  </si>
  <si>
    <t>Meyer</t>
  </si>
  <si>
    <t>Meyer 2020</t>
  </si>
  <si>
    <t>10.1016/j.chemosphere.2019.125527</t>
  </si>
  <si>
    <t>Legacy Contaminants of Emerging Concern: Lead (Pb), Flint (MI), and Human Health</t>
  </si>
  <si>
    <t>Michaels</t>
  </si>
  <si>
    <t>Michaels 2020</t>
  </si>
  <si>
    <t>10.1080/10406026.2019.1661947</t>
  </si>
  <si>
    <t>Safety of Safety Evaluation of Pesticides: Developmental neurotoxicity of chlorpyrifos and chlorpyrifos-methyl</t>
  </si>
  <si>
    <t>Mie</t>
  </si>
  <si>
    <t>Mie 2018</t>
  </si>
  <si>
    <t>10.1186/s12940-018-0421-y</t>
  </si>
  <si>
    <t>Impact of chronic exposure to legacy environmental contaminants on the corpus callosum microstructure: A diffusion MRI study of Inuit adolescents</t>
  </si>
  <si>
    <t>Migneron-Foisy</t>
  </si>
  <si>
    <t>Migneron-Foisy 2022</t>
  </si>
  <si>
    <t>10.1016/j.neuro.2022.08.010</t>
  </si>
  <si>
    <t>Lack of association between Rh status, Rh immune globulin in pregnancy and autism</t>
  </si>
  <si>
    <t>Miles</t>
  </si>
  <si>
    <t>Miles 2007</t>
  </si>
  <si>
    <t>10.1002/ajmg.a.31846</t>
  </si>
  <si>
    <t>Neurobehavioral function in children with low blood lead concentrations</t>
  </si>
  <si>
    <t>Min</t>
  </si>
  <si>
    <t>Min 2007</t>
  </si>
  <si>
    <t>10.1016/j.neuro.2006.03.007</t>
  </si>
  <si>
    <t>Cognitive development and low-level lead exposure in poly-drug exposed children</t>
  </si>
  <si>
    <t>Min 2009</t>
  </si>
  <si>
    <t>10.1016/j.ntt.2009.03.002</t>
  </si>
  <si>
    <t>Preschool blood lead levels, language competency, and substance use in adolescence</t>
  </si>
  <si>
    <t>Min 2022</t>
  </si>
  <si>
    <t>10.1016/j.envres.2021.112273</t>
  </si>
  <si>
    <t>Environmental neurotoxicants and developing brain</t>
  </si>
  <si>
    <t>Miodovnik</t>
  </si>
  <si>
    <t>Miodovnik 2011</t>
  </si>
  <si>
    <t>10.1002/msj.20237</t>
  </si>
  <si>
    <t>The relationship between early childhood blood lead levels and performance on end-of-grade tests</t>
  </si>
  <si>
    <t>Miranda</t>
  </si>
  <si>
    <t>Miranda 2007</t>
  </si>
  <si>
    <t>10.1289/ehp.9994</t>
  </si>
  <si>
    <t xml:space="preserve">BPb - end-of-grade testing (not IQ however) </t>
  </si>
  <si>
    <t>Dental amalgam restorations: daily mercury dose and biocompatibility</t>
  </si>
  <si>
    <t>Mitchell</t>
  </si>
  <si>
    <t>Mitchell 2005</t>
  </si>
  <si>
    <t>10.1615/jlongtermeffmedimplants.v15.i6.120</t>
  </si>
  <si>
    <t>Pressure passivity of cerebral mitochondrial metabolism is associated with poor outcome following perinatal hypoxic ischemic brain injury</t>
  </si>
  <si>
    <t>Mitra</t>
  </si>
  <si>
    <t>Mitra 2019</t>
  </si>
  <si>
    <t>10.1177/0271678X17733639</t>
  </si>
  <si>
    <t>Prenatal selenium status, neonatal cerebellum measures and child neurodevelopment at the age of 18 months</t>
  </si>
  <si>
    <t>Moc</t>
  </si>
  <si>
    <t>10.1016/j.envres.2019.108529</t>
  </si>
  <si>
    <t>Early-life metal exposure and schizophrenia: A proof-of-concept study using novel tooth-matrix biomarkers</t>
  </si>
  <si>
    <t>Modabbernia</t>
  </si>
  <si>
    <t>Modabbernia 2016</t>
  </si>
  <si>
    <t>10.1016/j.eurpsy.2016.03.006</t>
  </si>
  <si>
    <t>The effects of prenatal methylmercury exposure on trace element and antioxidant levels in rats following 6-hydroxydopamine-induced neuronal insult</t>
  </si>
  <si>
    <t>Mohamed Moosa</t>
  </si>
  <si>
    <t>Mohamed Moosa 2014</t>
  </si>
  <si>
    <t>10.1007/s11011-013-9465-4</t>
  </si>
  <si>
    <t>Lead Emissions and Population Vulnerability in the Detroit (Michigan, USA) Metropolitan Area, 2006-2013: A Spatial and Temporal Analysis</t>
  </si>
  <si>
    <t>Moody</t>
  </si>
  <si>
    <t>Moody 2017</t>
  </si>
  <si>
    <t>10.3390/ijerph14121445</t>
  </si>
  <si>
    <t xml:space="preserve">Wrong exposure </t>
  </si>
  <si>
    <t>The Putative Role of Environmental Mercury in the Pathogenesis and Pathophysiology of Autism Spectrum Disorders and Subtypes</t>
  </si>
  <si>
    <t>Morris</t>
  </si>
  <si>
    <t>Morris 2018</t>
  </si>
  <si>
    <t>10.1007/s12035-017-0692-2</t>
  </si>
  <si>
    <t>Prenatal low-level mercury exposure and infant neurodevelopment at 12-months in rural northern China</t>
  </si>
  <si>
    <t>Mortazavi</t>
  </si>
  <si>
    <t>Mortazavi 2016</t>
  </si>
  <si>
    <t>10.1007/s11356-016-6722-1</t>
  </si>
  <si>
    <t xml:space="preserve">No abstract available </t>
  </si>
  <si>
    <t>The positive association between elevated blood lead levels and brain-specific autoantibodies in autistic children from low lead-polluted areas</t>
  </si>
  <si>
    <t>Mostafa</t>
  </si>
  <si>
    <t>Mostafa 2016</t>
  </si>
  <si>
    <t>10.1007/s11011-016-9836-8</t>
  </si>
  <si>
    <t>ASD only</t>
  </si>
  <si>
    <t>Fish intake, contaminants, and human health evaluating the risks and the benefits</t>
  </si>
  <si>
    <t>Mozaffarian</t>
  </si>
  <si>
    <t>Mozaffarian 2006</t>
  </si>
  <si>
    <t>10.1001/jama.296.15.1885</t>
  </si>
  <si>
    <t>Measles, mumps and rubella (MMR) vaccination has no effect on cognitive development in children - the results of the Polish prospective cohort study</t>
  </si>
  <si>
    <t>Mrozek-Budzyn</t>
  </si>
  <si>
    <t>Mrozek-Budzyn 2013</t>
  </si>
  <si>
    <t>10.1016/j.vaccine.2013.03.057</t>
  </si>
  <si>
    <t>wrong exposure,not an environmental exposure</t>
  </si>
  <si>
    <t>Prenatal lead acetate exposure induces apoptosis and changes GFAP expression during spinal cord development</t>
  </si>
  <si>
    <t>Müller</t>
  </si>
  <si>
    <t>Müller 2012</t>
  </si>
  <si>
    <t>10.1016/j.ecoenv.2011.08.004</t>
  </si>
  <si>
    <t>[Neurodevelopmental effects from prenatal exposure to methylmercury in the Seychellois and Faroes cohorts and the critical concentration: a review]</t>
  </si>
  <si>
    <t>Murata</t>
  </si>
  <si>
    <t>Murata 2005</t>
  </si>
  <si>
    <t>10.1265/jjh.60.4</t>
  </si>
  <si>
    <t>Comments on: Chari, R. Burke, T.A. White, R.H. Fox, M.A. Integrating Susceptibility into environmental policy: an analysis of the national ambient air quality standard for lead. Int. J. Environ. Res. Public Health 2012, 9, 1077-1096</t>
  </si>
  <si>
    <t>Murphy</t>
  </si>
  <si>
    <t>Murphy 2013</t>
  </si>
  <si>
    <t>10.3390/ijerph10020712</t>
  </si>
  <si>
    <t>Chronic Adolescent Î”9-Tetrahydrocannabinol Treatment of Male Mice Leads to Long-Term Cognitive and Behavioral Dysfunction, Which Are Prevented by Concurrent Cannabidiol Treatment</t>
  </si>
  <si>
    <t>Murphy 2017</t>
  </si>
  <si>
    <t>10.1089/can.2017.0034</t>
  </si>
  <si>
    <t>wrong population, wrong exposure</t>
  </si>
  <si>
    <t>Mercury and autism: accelerating evidence?</t>
  </si>
  <si>
    <t>Mutter</t>
  </si>
  <si>
    <t>Mutter 2005</t>
  </si>
  <si>
    <t>Developmental Disabilities Following Prenatal Exposure to Methyl Mercury from Maternal Fish Consumption: A Review of the Evidence</t>
  </si>
  <si>
    <t>Myers</t>
  </si>
  <si>
    <t>Myers 2005</t>
  </si>
  <si>
    <t>10.1016/S0074-7750(05)30004-8</t>
  </si>
  <si>
    <t>background article</t>
  </si>
  <si>
    <t>Nutrient and methyl mercury exposure from consuming fish</t>
  </si>
  <si>
    <t>Myers 2007</t>
  </si>
  <si>
    <t>10.1093/jn/137.12.2805</t>
  </si>
  <si>
    <t>wrong study design, wrong exposure</t>
  </si>
  <si>
    <t>Risk-benefit analysis</t>
  </si>
  <si>
    <t>Postnatal exposure to methyl mercury from fish consumption: a review and new data from the Seychelles Child Development Study</t>
  </si>
  <si>
    <t>Myers 2009</t>
  </si>
  <si>
    <t>10.1016/j.neuro.2009.01.005</t>
  </si>
  <si>
    <t>Link with Huang 2005 and Huang 2007</t>
  </si>
  <si>
    <t>The Seychelles Child Development Study of methyl mercury from fish consumption: analysis of subscales from the Child Behaviour Checklist at age 107 months in the main cohort</t>
  </si>
  <si>
    <t>Myers 2020</t>
  </si>
  <si>
    <t>10.1016/j.neuro.2020.09.025</t>
  </si>
  <si>
    <t>Activation of IL-17 receptor leads to increased oxidative inflammation in peripheral monocytes of autistic children</t>
  </si>
  <si>
    <t>Nadeem</t>
  </si>
  <si>
    <t>Nadeem 2018</t>
  </si>
  <si>
    <t>10.1016/j.bbi.2017.09.010</t>
  </si>
  <si>
    <t>outcome, wrong study design</t>
  </si>
  <si>
    <t>Effects of seafood consumption on mercury exposure in Norwegian pregnant women: A randomized controlled trial</t>
  </si>
  <si>
    <t>Naess</t>
  </si>
  <si>
    <t>Naess 2020</t>
  </si>
  <si>
    <t>10.1016/j.envint.2020.105759</t>
  </si>
  <si>
    <t>Exposure</t>
  </si>
  <si>
    <t>Protective role of alpha-lipoic acid in impairments of social and stereotyped behaviors induced by early postnatal administration of thimerosal in male rat</t>
  </si>
  <si>
    <t>Namvarpour</t>
  </si>
  <si>
    <t>Namvarpour 2018</t>
  </si>
  <si>
    <t>10.1016/j.ntt.2018.02.002</t>
  </si>
  <si>
    <t>Lead Toxicity in Children: An Unremitting Public Health Problem</t>
  </si>
  <si>
    <t>Naranjo</t>
  </si>
  <si>
    <t>Naranjo 2020</t>
  </si>
  <si>
    <t>10.1016/j.pediatrneurol.2020.08.005</t>
  </si>
  <si>
    <t xml:space="preserve">Exposure </t>
  </si>
  <si>
    <t>Molecular neurobiology of lead (Pb(2+)): effects on synaptic function</t>
  </si>
  <si>
    <t>Neal</t>
  </si>
  <si>
    <t>Neal 2010</t>
  </si>
  <si>
    <t>10.1007/s12035-010-8146-0</t>
  </si>
  <si>
    <t>Concentrations of environmental chemicals associated with neurodevelopmental effects in U.S. population</t>
  </si>
  <si>
    <t>Needham</t>
  </si>
  <si>
    <t>Needham 2005</t>
  </si>
  <si>
    <t>10.1016/j.neuro.2004.09.005</t>
  </si>
  <si>
    <t>Low-level Lead Exposure Impairs Fronto-executive Functions: A Call to Update the DSM-5 with Lead Poisoning as a Neurodevelopmental Disorder</t>
  </si>
  <si>
    <t>Neuwirth</t>
  </si>
  <si>
    <t>Neuwirth 2020</t>
  </si>
  <si>
    <t>10.1037/pne0000225</t>
  </si>
  <si>
    <t>Trends in preschool lead exposure, mental retardation, and scholastic achievement: association or causation?</t>
  </si>
  <si>
    <t>Nevin</t>
  </si>
  <si>
    <t>Nevin 2009</t>
  </si>
  <si>
    <t>10.1016/j.envres.2008.12.003</t>
  </si>
  <si>
    <t>Ecological study</t>
  </si>
  <si>
    <t>Low-level chronic mercury exposure in children and adolescents: meta-analysis</t>
  </si>
  <si>
    <t>Ng</t>
  </si>
  <si>
    <t>Ng 2007</t>
  </si>
  <si>
    <t>10.1111/j.1442-200X.2007.02303.x</t>
  </si>
  <si>
    <t>Mercury, APOE, and children's neurodevelopment</t>
  </si>
  <si>
    <t>Ng 2013</t>
  </si>
  <si>
    <t>10.1016/j.neuro.2013.03.012</t>
  </si>
  <si>
    <t>Environmental exposure to lead, but not other neurotoxic metals, relates to core elements of ADHD in Romanian children: performance and questionnaire data</t>
  </si>
  <si>
    <t>Nicolescu</t>
  </si>
  <si>
    <t>Nicolescu 2010</t>
  </si>
  <si>
    <t>10.1016/j.envres.2010.04.002</t>
  </si>
  <si>
    <t>Blood lead levels and cumulative blood lead index (CBLI) as predictors of late neurodevelopment in lead poisoned children</t>
  </si>
  <si>
    <t>Nie</t>
  </si>
  <si>
    <t>Nie 2011</t>
  </si>
  <si>
    <t>10.3109/1354750x.2011.604133</t>
  </si>
  <si>
    <t>Lead-poisoned children</t>
  </si>
  <si>
    <t>Low blood lead levels associated with clinically diagnosed attention-deficit/hyperactivity disorder and mediated by weak cognitive control</t>
  </si>
  <si>
    <t>Nigg</t>
  </si>
  <si>
    <t>Nigg 2008</t>
  </si>
  <si>
    <t>10.1016/j.biopsych.2007.07.013</t>
  </si>
  <si>
    <t>Confirmation and extension of association of blood lead with attention-deficit/hyperactivity disorder (ADHD) and ADHD symptom domains at population-typical exposure levels</t>
  </si>
  <si>
    <t>Nigg 2010</t>
  </si>
  <si>
    <t>10.1111/j.1469-7610.2009.02135.x</t>
  </si>
  <si>
    <t>Variation in an Iron Metabolism Gene Moderates the Association Between Blood Lead Levels and Attention-Deficit/Hyperactivity Disorder in Children</t>
  </si>
  <si>
    <t>Nigg 2016</t>
  </si>
  <si>
    <t>10.1177/0956797615618365</t>
  </si>
  <si>
    <t>A systematic review and meta-analysis examining the interrelationships between chemical and non-chemical stressors and inherent characteristics in children with ADHD</t>
  </si>
  <si>
    <t>Nilsen</t>
  </si>
  <si>
    <t>Nilsen 2020</t>
  </si>
  <si>
    <t>10.1016/j.envres.2019.108884</t>
  </si>
  <si>
    <t>Combined prenatal exposure to mercury and LCPUFA on newborn's brain measures and neurodevelopment at the age of 18 months</t>
  </si>
  <si>
    <t>Nisevic</t>
  </si>
  <si>
    <t>Nisevic 2019</t>
  </si>
  <si>
    <t>10.1016/j.envres.2019.108682</t>
  </si>
  <si>
    <t>Lead levels and DNA damage in children with autistic spectrum disorders</t>
  </si>
  <si>
    <t>Noris-Garcia</t>
  </si>
  <si>
    <t>Noris-Garcia 2013</t>
  </si>
  <si>
    <t>Blood lead level and nutritional status indicators in preadolescent Polish schoolchildren</t>
  </si>
  <si>
    <t>Nowak-Szczepanska</t>
  </si>
  <si>
    <t>Nowak-Szczepanska 2021</t>
  </si>
  <si>
    <t>10.1016/j.jtemb.2021.126847</t>
  </si>
  <si>
    <t>Prenatal Metal Exposures and Infants' Developmental Outcomes in a Navajo Population</t>
  </si>
  <si>
    <t>Nozadi</t>
  </si>
  <si>
    <t>Nozadi 2021</t>
  </si>
  <si>
    <t>10.3390/ijerph19010425</t>
  </si>
  <si>
    <t>Neurobehavior, not cognition nor IQ</t>
  </si>
  <si>
    <t>Lead, Deliquency and Violence</t>
  </si>
  <si>
    <t>Nriagu</t>
  </si>
  <si>
    <t>Nriagu 2011</t>
  </si>
  <si>
    <t>10.1016/B978-0-444-52272-6.00138-0</t>
  </si>
  <si>
    <t>Lead, deliquency and criminal offending</t>
  </si>
  <si>
    <t>Nriagu 2019</t>
  </si>
  <si>
    <t>10.1016/B978-0-12-409548-9.11742-7</t>
  </si>
  <si>
    <t>Exposure assessment of pregnant Portuguese women to methylmercury through the ingestion of fish: cross-sectional survey and biomarker validation</t>
  </si>
  <si>
    <t>Nunes</t>
  </si>
  <si>
    <t>Nunes 2014</t>
  </si>
  <si>
    <t>10.1080/15287394.2014.867200</t>
  </si>
  <si>
    <t>Positive and inverse correlation of blood lead level with erythrocyte acetylcholinesterase and intelligence quotient in children: implications for neurotoxicity</t>
  </si>
  <si>
    <t>Nwobi</t>
  </si>
  <si>
    <t>Nwobi 2019</t>
  </si>
  <si>
    <t>10.2478/intox-2019-0016</t>
  </si>
  <si>
    <t>Effects of prenatal exposure and co-exposure to metallic or metalloid elements on early infant neurodevelopmental outcomes in areas with small-scale gold mining activities in Northern Tanzania</t>
  </si>
  <si>
    <t>Nyanza</t>
  </si>
  <si>
    <t>Nyanza 2021</t>
  </si>
  <si>
    <t>10.1016/j.envint.2020.106104</t>
  </si>
  <si>
    <t>Unusual exposure (dried blood spot of mothers)</t>
  </si>
  <si>
    <t>Fetal and maternal immune responses to methylmercury exposure: a cross-sectional study</t>
  </si>
  <si>
    <t>Nyland</t>
  </si>
  <si>
    <t>Nyland 2011</t>
  </si>
  <si>
    <t>10.1016/j.envres.2011.02.010</t>
  </si>
  <si>
    <t>Elevated prenatal methylmercury exposure in Nigeria: evidence from maternal and cord blood</t>
  </si>
  <si>
    <t>Obi</t>
  </si>
  <si>
    <t>Obi 2015</t>
  </si>
  <si>
    <t>10.1016/j.chemosphere.2014.07.038</t>
  </si>
  <si>
    <t>Hippocampal developmental vulnerability to methylmercury extends into prepubescence</t>
  </si>
  <si>
    <t>Obiorah</t>
  </si>
  <si>
    <t>Obiorah 2015</t>
  </si>
  <si>
    <t>10.3389/fnins.2015.00150</t>
  </si>
  <si>
    <t>Lead-based paint remains a major public health concern: A critical review of global production, trade, use, exposure, health risk, and implications</t>
  </si>
  <si>
    <t>O'Connor</t>
  </si>
  <si>
    <t>O'Connor 2018</t>
  </si>
  <si>
    <t>10.1016/j.envint.2018.08.052</t>
  </si>
  <si>
    <t>Fish consumption, methylmercury and child neurodevelopment</t>
  </si>
  <si>
    <t>Oken</t>
  </si>
  <si>
    <t>Oken 2008</t>
  </si>
  <si>
    <t>10.1097/MOP.0b013e3282f5614c</t>
  </si>
  <si>
    <t>Maternal prenatal fish consumption and cognition in mid childhood: Mercury, fatty acids, and selenium</t>
  </si>
  <si>
    <t>Oken 2016</t>
  </si>
  <si>
    <t>10.1016/j.ntt.2016.07.001</t>
  </si>
  <si>
    <t>Verbal and non-verbal IQ only</t>
  </si>
  <si>
    <t>Potential Health Risks of Lead Exposure from Early Life through Later Life: Implications for Public Health Education</t>
  </si>
  <si>
    <t>Olufemi</t>
  </si>
  <si>
    <t>Olufemi 2022</t>
  </si>
  <si>
    <t>10.3390/ijerph192316006</t>
  </si>
  <si>
    <t>Neurotoxicity and aggressiveness triggered by low-level lead in children: a review</t>
  </si>
  <si>
    <t>Olympio</t>
  </si>
  <si>
    <t>Olympio 2009</t>
  </si>
  <si>
    <t>10.1590/s1020-49892009000900011</t>
  </si>
  <si>
    <t>Bayesian importance parameter modeling of misaligned predictors: soil metal measures related to residential history and intellectual disability in children</t>
  </si>
  <si>
    <t>Onicescu</t>
  </si>
  <si>
    <t>Onicescu 2014</t>
  </si>
  <si>
    <t>10.1007/s11356-014-3072-8</t>
  </si>
  <si>
    <t>Prenatal Exposure to Chemical Mixtures and Cognitive Flexibility among Adolescents</t>
  </si>
  <si>
    <t>Oppenheimer</t>
  </si>
  <si>
    <t>Oppenheimer 2021</t>
  </si>
  <si>
    <t>10.3390/toxics9120329</t>
  </si>
  <si>
    <t>Prenatal Exposure to Chemical Mixtures and Inhibition among Adolescents</t>
  </si>
  <si>
    <t>10.3390/toxics9110311</t>
  </si>
  <si>
    <t>Prenatal exposure to chemical mixtures and working memory among adolescents</t>
  </si>
  <si>
    <t>Oppenheimer 2022</t>
  </si>
  <si>
    <t>10.1016/j.envres.2021.112436</t>
  </si>
  <si>
    <t>Prenatal organochlorine and methylmercury exposure and memory and learning in school-age children in communities near the New Bedford Harbor Superfund site, Massachusetts</t>
  </si>
  <si>
    <t>Orenstein</t>
  </si>
  <si>
    <t>Orenstein 2014</t>
  </si>
  <si>
    <t>10.1289/ehp.1307804</t>
  </si>
  <si>
    <t>Environmental toxins. Metals: Adverse effects on the fetal and postnatal nervous systems</t>
  </si>
  <si>
    <t>Ortega Garcia</t>
  </si>
  <si>
    <t>Ortega Garcia 2005</t>
  </si>
  <si>
    <t>Toxic metals in food</t>
  </si>
  <si>
    <t>Oskarsson</t>
  </si>
  <si>
    <t>Oskarsson 2021</t>
  </si>
  <si>
    <t>10.1016/B978-0-12-823292-7.00005-X</t>
  </si>
  <si>
    <t>Fetal exposure to propoxur and abnormal child neurodevelopment at 2 years of age</t>
  </si>
  <si>
    <t>Ostrea Jr</t>
  </si>
  <si>
    <t>Ostrea Jr 2012</t>
  </si>
  <si>
    <t>10.1016/j.neuro.2011.11.006</t>
  </si>
  <si>
    <t>Mercury Levels in Women and Children from Interior Villages in Suriname, South America</t>
  </si>
  <si>
    <t>Ouboter</t>
  </si>
  <si>
    <t>Ouboter 2018</t>
  </si>
  <si>
    <t>10.3390/ijerph15051007</t>
  </si>
  <si>
    <t>Joint and independent neurotoxic effects of early life exposures to a chemical mixture: A multi-pollutant approach combining ensemble learning and g-computation</t>
  </si>
  <si>
    <t>Oulhote</t>
  </si>
  <si>
    <t>Oulhote 2019</t>
  </si>
  <si>
    <t>10.1097/ee9.0000000000000063</t>
  </si>
  <si>
    <t>exposure data, mixture</t>
  </si>
  <si>
    <t>Lack of association between autism and four heavy metal regulatory genes</t>
  </si>
  <si>
    <t>Owens</t>
  </si>
  <si>
    <t>Owens 2011</t>
  </si>
  <si>
    <t>10.1016/j.neuro.2011.07.003</t>
  </si>
  <si>
    <t>Prenatal and concurrent blood mercury concentrations and associations with IQ in canadian preschool children</t>
  </si>
  <si>
    <t>Packull-McCormick</t>
  </si>
  <si>
    <t>Packull-McCormick 2023</t>
  </si>
  <si>
    <t>10.1016/j.envres.2023.116463</t>
  </si>
  <si>
    <t>Wrong population</t>
  </si>
  <si>
    <t>Results stratified by sex</t>
  </si>
  <si>
    <t>Maternal amalgam dental fillings as the source of mercury exposure in developing fetus and newborn</t>
  </si>
  <si>
    <t>Palkovicova</t>
  </si>
  <si>
    <t>Palkovicova 2008</t>
  </si>
  <si>
    <t>10.1038/sj.jes.7500606</t>
  </si>
  <si>
    <t>Effects of lead, cadmium, arsenic, and mercury co-exposure on children's intelligence quotient in an industrialized area of southern China</t>
  </si>
  <si>
    <t>Pan</t>
  </si>
  <si>
    <t>Pan 2018</t>
  </si>
  <si>
    <t>10.1016/j.envpol.2017.12.044</t>
  </si>
  <si>
    <t>CoNaMad-Cohorte de Nacimiento de Madre de Dios/Madre de Dios Birth Cohort to Study Effects of in-utero Trace Metals Exposure in the Southern Peruvian Amazon</t>
  </si>
  <si>
    <t>Pan 2021</t>
  </si>
  <si>
    <t>10.5334/aogh.3152</t>
  </si>
  <si>
    <t>study design, wrong setting</t>
  </si>
  <si>
    <t>Advances on the Influence of Methylmercury Exposure during Neurodevelopment</t>
  </si>
  <si>
    <t>Pan 2022</t>
  </si>
  <si>
    <t>10.1021/acs.chemrestox.1c00255</t>
  </si>
  <si>
    <t>[Behavioral disorders and substance abuse in adolescents with mental retardation]</t>
  </si>
  <si>
    <t>Papachristou</t>
  </si>
  <si>
    <t>Papachristou 2014</t>
  </si>
  <si>
    <t>Multi-omics analysis reveals that co-exposure to phthalates and metals disturbs urea cycle and choline metabolism</t>
  </si>
  <si>
    <t>Papaioannou</t>
  </si>
  <si>
    <t>Papaioannou 2021</t>
  </si>
  <si>
    <t>10.1016/j.envres.2020.110041</t>
  </si>
  <si>
    <t>Lead toxicity update. A brief review</t>
  </si>
  <si>
    <t>Papanikolaou</t>
  </si>
  <si>
    <t>Papanikolaou 2005</t>
  </si>
  <si>
    <t>Association of cord blood levels of lead, arsenic, and zinc with neurodevelopmental indicators in newborns: a birth cohort study in Chitwan Valley, Nepal</t>
  </si>
  <si>
    <t>Parajuli</t>
  </si>
  <si>
    <t>Parajuli 2013</t>
  </si>
  <si>
    <t>10.1016/j.envres.2012.10.010</t>
  </si>
  <si>
    <t>Home environment and prenatal exposure to lead, arsenic and zinc on the neurodevelopment of six-month-old infants living in Chitwan Valley, Nepal</t>
  </si>
  <si>
    <t>Parajuli 2014</t>
  </si>
  <si>
    <t>10.1016/j.ntt.2013.12.006</t>
  </si>
  <si>
    <t xml:space="preserve">Pb </t>
  </si>
  <si>
    <t>Impact of caste on the neurodevelopment of young children from birth to 36 months of age: a birth cohort study in Chitwan Valley, Nepal</t>
  </si>
  <si>
    <t>2014b</t>
  </si>
  <si>
    <t>Parajuli 2014b</t>
  </si>
  <si>
    <t>10.1186/1471-2431-14-56</t>
  </si>
  <si>
    <t>Parajuli 2015, Parajuli 2015b</t>
  </si>
  <si>
    <t>Grouped with Parajuli 2015 and Parajuli 2015b</t>
  </si>
  <si>
    <t>Association of cord blood levels of lead, arsenic, and zinc and home environment with children neurodevelopment at 36 months living in Chitwan Valley, Nepal</t>
  </si>
  <si>
    <t>Parajuli 2015</t>
  </si>
  <si>
    <t>10.1371/journal.pone.0120992</t>
  </si>
  <si>
    <t>Parajuli 2014b, Parajuli 2015b</t>
  </si>
  <si>
    <t>Grouped with Parajuli 2015b</t>
  </si>
  <si>
    <t>Home environment and cord blood levels of lead, arsenic, and zinc on neurodevelopment of 24 months children living in Chitwan Valley, Nepal</t>
  </si>
  <si>
    <t>2015b</t>
  </si>
  <si>
    <t>Parajuli 2015b</t>
  </si>
  <si>
    <t>10.1016/j.jtemb.2014.08.006</t>
  </si>
  <si>
    <t>Parajuli 2014b, Parajuli 2015</t>
  </si>
  <si>
    <t>Awareness of fish advisories and mercury exposure in women of childbearing age</t>
  </si>
  <si>
    <t>Park</t>
  </si>
  <si>
    <t>Park 2006</t>
  </si>
  <si>
    <t>10.1301/nr.2006.may.250-256</t>
  </si>
  <si>
    <t>Blood lead concentrations and attention deficit hyperactivity disorder in Korean children: a hospital-based case control study</t>
  </si>
  <si>
    <t>Park 2016</t>
  </si>
  <si>
    <t>10.1186/s12887-016-0696-5</t>
  </si>
  <si>
    <t>Human exposure to lead and new evidence of adverse health effects: Implications for analytical measurements</t>
  </si>
  <si>
    <t>Parsons</t>
  </si>
  <si>
    <t>Parsons 2010</t>
  </si>
  <si>
    <t>10.1154/1.3402340</t>
  </si>
  <si>
    <t>Prevalence of elevated blood lead level in children of India</t>
  </si>
  <si>
    <t>Parween</t>
  </si>
  <si>
    <t>Parween 2018</t>
  </si>
  <si>
    <t>Methylmercury impairs motor function in early development and induces oxidative stress in cerebellar granule cells</t>
  </si>
  <si>
    <t>Patel</t>
  </si>
  <si>
    <t>Patel 2013</t>
  </si>
  <si>
    <t>10.1016/j.toxlet.2013.08.002</t>
  </si>
  <si>
    <t>study design, wrong population</t>
  </si>
  <si>
    <t>Organic lead toxicology</t>
  </si>
  <si>
    <t>Patocka</t>
  </si>
  <si>
    <t>Patocka 2008</t>
  </si>
  <si>
    <t>10.14712/18059694.2017.26</t>
  </si>
  <si>
    <t>Modification by the genes ALAD and VDR of lead-induced cognitive effects in children</t>
  </si>
  <si>
    <t>Pawlas</t>
  </si>
  <si>
    <t>Pawlas 2012</t>
  </si>
  <si>
    <t>10.1016/j.neuro.2011.10.012</t>
  </si>
  <si>
    <t>Analysis stratified by genotype</t>
  </si>
  <si>
    <t>Environmental pollutants and the thyroid</t>
  </si>
  <si>
    <t>Pearce</t>
  </si>
  <si>
    <t>Pearce 2009</t>
  </si>
  <si>
    <t>10.1016/j.beem.2009.06.003</t>
  </si>
  <si>
    <t>Antiepileptic drugs during pregnancy: what is known and which AEDs seem to be safest?</t>
  </si>
  <si>
    <t>Pennell</t>
  </si>
  <si>
    <t>Pennell 2008</t>
  </si>
  <si>
    <t>10.1111/j.1528-1167.2008.01926.x</t>
  </si>
  <si>
    <t>Study of controlled migration of cadmium and lead into foods from plastic utensils for children</t>
  </si>
  <si>
    <t>Pereira</t>
  </si>
  <si>
    <t>Pereira 2022</t>
  </si>
  <si>
    <t>10.1007/s11356-022-19433-2</t>
  </si>
  <si>
    <t>Effect of prenatal exposure to airborne polycyclic aromatic hydocarbons on neurodevelopment in the first 3 years of life among inner-city children</t>
  </si>
  <si>
    <t>Perera</t>
  </si>
  <si>
    <t>Perera 2006</t>
  </si>
  <si>
    <t>10.1289/ehp.9084</t>
  </si>
  <si>
    <t>Benefits of reducing prenatal exposure to coal-burning pollutants to children's neurodevelopment in China</t>
  </si>
  <si>
    <t>Perera 2008</t>
  </si>
  <si>
    <t>10.1289/ehp.11480</t>
  </si>
  <si>
    <t>Not investigating Pb or Hg</t>
  </si>
  <si>
    <t>Current needs and future directions of occupational safety and heath in a globalized world</t>
  </si>
  <si>
    <t>Perera 2012</t>
  </si>
  <si>
    <t>10.1016/j.neuro.2011.10.004</t>
  </si>
  <si>
    <t>Early Life Exposure in Mexico to ENvironmental Toxicants (ELEMENT) Project</t>
  </si>
  <si>
    <t>Perng</t>
  </si>
  <si>
    <t>Perng 2019</t>
  </si>
  <si>
    <t>10.1136/bmjopen-2019-030427</t>
  </si>
  <si>
    <t>Cohort profile</t>
  </si>
  <si>
    <t>Selenium and mercury interactions with emphasis on fish tissue</t>
  </si>
  <si>
    <t>Peterson</t>
  </si>
  <si>
    <t>Peterson 2009</t>
  </si>
  <si>
    <t>10.1080/15555270903358428</t>
  </si>
  <si>
    <t>Blood lead levels among resettled refugee children in select US states, 2010â€“2014</t>
  </si>
  <si>
    <t>Pezzi</t>
  </si>
  <si>
    <t>Pezzi 2019</t>
  </si>
  <si>
    <t>10.1542/peds.2018-2591</t>
  </si>
  <si>
    <t>Economic evaluation of health consequences of prenatal methylmercury exposure in France</t>
  </si>
  <si>
    <t>Pichery</t>
  </si>
  <si>
    <t>Pichery 2012</t>
  </si>
  <si>
    <t>10.1186/1476-069x-11-53</t>
  </si>
  <si>
    <t>Maternal MTHFR genotype and haplotype predict deficits in early cognitive development in a lead-exposed birth cohort in Mexico City</t>
  </si>
  <si>
    <t>Pilsner</t>
  </si>
  <si>
    <t>Pilsner 2010</t>
  </si>
  <si>
    <t>10.3945/ajcn.2009.28839</t>
  </si>
  <si>
    <t>Determination of mercury in hair of children</t>
  </si>
  <si>
    <t>Pino</t>
  </si>
  <si>
    <t>Pino 2018</t>
  </si>
  <si>
    <t>10.1016/j.toxlet.2018.06.1215</t>
  </si>
  <si>
    <t>External costs of atmospheric Pb emissions: valuation of neurotoxic impacts due to inhalation</t>
  </si>
  <si>
    <t>Pizzol</t>
  </si>
  <si>
    <t>Pizzol 2010</t>
  </si>
  <si>
    <t>10.1186/1476-069x-9-9</t>
  </si>
  <si>
    <t>PBK modeling</t>
  </si>
  <si>
    <t>External costs of atmospheric lead emissions from a waste-to-energy plant: a follow-up assessment of indirect exposure via topsoil ingestion</t>
  </si>
  <si>
    <t>Pizzol 2013</t>
  </si>
  <si>
    <t>10.1016/j.jenvman.2013.02.043</t>
  </si>
  <si>
    <t>Review of current evidence on the impact of pesticides, polychlorinated biphenyls and selected metals on attention deficit / hyperactivity disorder in children</t>
  </si>
  <si>
    <t>Polanska</t>
  </si>
  <si>
    <t>Polanska 2013</t>
  </si>
  <si>
    <t>10.2478/s13382-013-0073-7</t>
  </si>
  <si>
    <t xml:space="preserve">review, ADHD </t>
  </si>
  <si>
    <t>Sex-Dependent Impact of Low-Level Lead Exposure during Prenatal Period on Child Psychomotor Functions</t>
  </si>
  <si>
    <t>Polanska 2018</t>
  </si>
  <si>
    <t>10.3390/ijerph15102263</t>
  </si>
  <si>
    <t>Relating Prenatal Hg Exposure and Neurological Development in Children with Machine Learning</t>
  </si>
  <si>
    <t>Popov</t>
  </si>
  <si>
    <t>Popov 2021</t>
  </si>
  <si>
    <t>10.23919/MIPRO52101.2021.9596712</t>
  </si>
  <si>
    <t>Exposure levels, ERF update</t>
  </si>
  <si>
    <t>Application of machine learning to predict neurodevelopment outcomes</t>
  </si>
  <si>
    <t>Modeling the Association Between Prenatal Exposure to Mercury and Neurodevelopment of Children</t>
  </si>
  <si>
    <t>Popov 2022</t>
  </si>
  <si>
    <t>10.1007/978-3-031-04206-5_7</t>
  </si>
  <si>
    <t>Particulate matter and associated metals: A link with neurotoxicity and mental health</t>
  </si>
  <si>
    <t>Potter</t>
  </si>
  <si>
    <t>Potter 2021</t>
  </si>
  <si>
    <t>10.3390/atmos12040425</t>
  </si>
  <si>
    <t>Lead toxicity in children: A review</t>
  </si>
  <si>
    <t>Pradeep Kumar</t>
  </si>
  <si>
    <t>Pradeep Kumar 2011</t>
  </si>
  <si>
    <t>Prenatal exposure to low-level methylmercury alters the child's fine motor skills at the age of 18 months</t>
  </si>
  <si>
    <t>Prpic</t>
  </si>
  <si>
    <t>Prpic 2017</t>
  </si>
  <si>
    <t>10.1016/j.envres.2016.10.011</t>
  </si>
  <si>
    <t>Role of the Gut Microbiome in Autism Spectrum Disorders</t>
  </si>
  <si>
    <t>Pulikkan</t>
  </si>
  <si>
    <t>Pulikkan 2019</t>
  </si>
  <si>
    <t>10.1007/978-3-030-05542-4_13</t>
  </si>
  <si>
    <t>Health risk assessment of villagers who live near a lead mining area: a case study of Klity village, Kanchanaburi Province, Thailand</t>
  </si>
  <si>
    <t>Pusapukdepob</t>
  </si>
  <si>
    <t>Pusapukdepob 2007</t>
  </si>
  <si>
    <t>Combination of adults and children</t>
  </si>
  <si>
    <t>Efficacy and Safety of Levetiracetam vs. Phenobarbital for Neonatal Seizures: A Systematic Review and Meta-Analysis</t>
  </si>
  <si>
    <t>Qiao</t>
  </si>
  <si>
    <t>Qiao 2021</t>
  </si>
  <si>
    <t>10.3389/fneur.2021.747745</t>
  </si>
  <si>
    <t>Assessment of chemical effects on neurite outgrowth in PC12 cells using high content screening</t>
  </si>
  <si>
    <t>Radio</t>
  </si>
  <si>
    <t>Radio 2008</t>
  </si>
  <si>
    <t>10.1093/toxsci/kfn114</t>
  </si>
  <si>
    <t>Blood lead concentrations in Jamaican children with and without autism spectrum disorder</t>
  </si>
  <si>
    <t>Rahbar</t>
  </si>
  <si>
    <t>Rahbar 2014</t>
  </si>
  <si>
    <t>10.3390/ijerph120100083</t>
  </si>
  <si>
    <t>Concentrations of Lead, Mercury, Arsenic, Cadmium, Manganese, and Aluminum in the Blood of Pakistani Children with and without Autism Spectrum Disorder and Their Associated Factors</t>
  </si>
  <si>
    <t>Rahbar 2021</t>
  </si>
  <si>
    <t>10.3390/ijerph18168625</t>
  </si>
  <si>
    <t>A neurodevelopmental perspective on male violence</t>
  </si>
  <si>
    <t>Raine</t>
  </si>
  <si>
    <t>Raine 2019</t>
  </si>
  <si>
    <t>10.1002/imhj.21761</t>
  </si>
  <si>
    <t>Selenium health benefit values as seafood safety criteria</t>
  </si>
  <si>
    <t>Ralston</t>
  </si>
  <si>
    <t>Ralston 2008</t>
  </si>
  <si>
    <t>10.1007/s10393-008-0202-0</t>
  </si>
  <si>
    <t>Selenium-health benefit values as seafood safety criteria</t>
  </si>
  <si>
    <t>Ralston 2014</t>
  </si>
  <si>
    <t>10.1201/b17402</t>
  </si>
  <si>
    <t>Prenatal exposure to mercury in a prospective mother-infant cohort study in a Mediterranean area, Valencia, Spain</t>
  </si>
  <si>
    <t>Ramon</t>
  </si>
  <si>
    <t>Ramon 2008</t>
  </si>
  <si>
    <t>10.1016/j.scitotenv.2007.11.025</t>
  </si>
  <si>
    <t>Metabolomic analysis of CSF indicates brain metabolic impairment precedes hematological indices of anemia in the iron-deficient infant monkey</t>
  </si>
  <si>
    <t>Rao</t>
  </si>
  <si>
    <t>Rao 2018</t>
  </si>
  <si>
    <t>10.1080/1028415X.2016.1217119</t>
  </si>
  <si>
    <t xml:space="preserve">wrong population, wrong publication type </t>
  </si>
  <si>
    <t>Evaluation of elements in hair samples of children with developmental language disorder (DLD)</t>
  </si>
  <si>
    <t>Rashaid</t>
  </si>
  <si>
    <t>Rashaid 2023</t>
  </si>
  <si>
    <t>10.1080/1028415x.2021.2022068</t>
  </si>
  <si>
    <t>Environmental lead exposure and its correlation with intelligence quotient level in children</t>
  </si>
  <si>
    <t>Rawat</t>
  </si>
  <si>
    <t>Rawat 2022</t>
  </si>
  <si>
    <t>10.1016/j.jtemb.2022.126981</t>
  </si>
  <si>
    <t>IQ based on drawing test</t>
  </si>
  <si>
    <t>Seafood consumption among pregnant and non-pregnant women of childbearing age in the United States, NHANES 1999-2006</t>
  </si>
  <si>
    <t>Razzaghi</t>
  </si>
  <si>
    <t>Razzaghi 2014</t>
  </si>
  <si>
    <t>10.3402/fnr.v58.23287</t>
  </si>
  <si>
    <t>A pharmacokinetic model of lead absorption and calcium competitive dynamics</t>
  </si>
  <si>
    <t>Rcƒdulescu</t>
  </si>
  <si>
    <t>Rcƒdulescu 2019</t>
  </si>
  <si>
    <t>10.1038/s41598-019-50654-7</t>
  </si>
  <si>
    <t>Mercury in breast milk from women in the Federal District, Brazil and dietary risk assessment for breastfed infants</t>
  </si>
  <si>
    <t>Rebelo</t>
  </si>
  <si>
    <t>Rebelo 2017</t>
  </si>
  <si>
    <t>10.1016/j.jtemb.2017.06.009</t>
  </si>
  <si>
    <t>Atlantic Bottlenose Dolphins (Tursiops truncatus) as A Sentinel for Exposure to Mercury in Humans: Closing the Loop</t>
  </si>
  <si>
    <t>Reif</t>
  </si>
  <si>
    <t>Reif 2015</t>
  </si>
  <si>
    <t>10.3390/vetsci2040407</t>
  </si>
  <si>
    <t xml:space="preserve">wrong setting, wrong population </t>
  </si>
  <si>
    <t>Intelligence gain and social cost savings attributable to environmental lead exposure reduction strategies since the year 2000 in Flanders, Belgium</t>
  </si>
  <si>
    <t>Remy</t>
  </si>
  <si>
    <t>Remy 2019</t>
  </si>
  <si>
    <t>10.1186/s12940-019-0548-5</t>
  </si>
  <si>
    <t>Exposure levels, EBD</t>
  </si>
  <si>
    <t>[Prenatal lead exposure related to cord blood brain derived neurotrophic factor (BDNF) levels and impaired neonatal neurobehavioral development]</t>
  </si>
  <si>
    <t>Ren</t>
  </si>
  <si>
    <t>Ren 2016</t>
  </si>
  <si>
    <t>10.3760/cma.j.issn.0253-9624.2016.06.008</t>
  </si>
  <si>
    <t>The effects of the exposure to neurotoxic elements on Italian schoolchildren behavior</t>
  </si>
  <si>
    <t>Renzetti</t>
  </si>
  <si>
    <t>Renzetti 2021</t>
  </si>
  <si>
    <t>10.1038/s41598-021-88969-z</t>
  </si>
  <si>
    <t>Association of Childhood Blood Lead Levels With Cognitive Function and Socioeconomic Status at Age 38 Years and With IQ Change and Socioeconomic Mobility Between Childhood and Adulthood</t>
  </si>
  <si>
    <t>Reuben</t>
  </si>
  <si>
    <t>Reuben 2017</t>
  </si>
  <si>
    <t>10.1001/jama.2017.1712</t>
  </si>
  <si>
    <t>Exposure data, SES</t>
  </si>
  <si>
    <t>Association of Childhood Lead Exposure With MRI Measurements of Structural Brain Integrity in Midlife</t>
  </si>
  <si>
    <t>Reuben 2020</t>
  </si>
  <si>
    <t>10.1001/jama.2020.19998</t>
  </si>
  <si>
    <t>Elevated Hair Mercury Levels Are Associated With Neurodevelopmental Deficits in Children Living Near Artisanal and Small-Scale Gold Mining in Peru</t>
  </si>
  <si>
    <t>2020b</t>
  </si>
  <si>
    <t>Reuben 2020b</t>
  </si>
  <si>
    <t>10.1029/2019gh000222</t>
  </si>
  <si>
    <t>Lead policy and academic performance: Insights from Massachusetts</t>
  </si>
  <si>
    <t>Reyes</t>
  </si>
  <si>
    <t>Reyes 2015</t>
  </si>
  <si>
    <t>10.17763/haer.85.1.bj34u74714022730</t>
  </si>
  <si>
    <t>A case-control study on the relationship between urine trace element levels and autism spectrum disorder among Iranian children</t>
  </si>
  <si>
    <t>Rezaei</t>
  </si>
  <si>
    <t>Rezaei 2022</t>
  </si>
  <si>
    <t>10.1007/s11356-022-19933-1</t>
  </si>
  <si>
    <t>The effects of listener training on discriminative control by elements of compound stimuli in children with disabilities</t>
  </si>
  <si>
    <t>Ribeiro</t>
  </si>
  <si>
    <t>Ribeiro 2015</t>
  </si>
  <si>
    <t>10.1002/jeab.161</t>
  </si>
  <si>
    <t>From Animals to Humans: Models and Constructs</t>
  </si>
  <si>
    <t>Rice</t>
  </si>
  <si>
    <t>Rice 2005</t>
  </si>
  <si>
    <t>10.1016/S0074-7750(05)30010-3</t>
  </si>
  <si>
    <t>Animal models of cognitive impairment produced by developmental lead exposure</t>
  </si>
  <si>
    <t>Rice 2006</t>
  </si>
  <si>
    <t>Frontiers in Neuroscience     Animal Models of Cognitive Impairment Produced by Developmental Lead Exposure</t>
  </si>
  <si>
    <t>A probabilistic characterization of the health benefits of reducing methyl mercury intake in the United States</t>
  </si>
  <si>
    <t>Rice 2010</t>
  </si>
  <si>
    <t>10.1021/es903359u</t>
  </si>
  <si>
    <t>Neurodevelopmental Toxicants</t>
  </si>
  <si>
    <t>Rice 2011</t>
  </si>
  <si>
    <t>10.1016/B978-0-444-52272-6.00021-0</t>
  </si>
  <si>
    <t>Neurodevelopmental toxicants</t>
  </si>
  <si>
    <t>Rice 2019</t>
  </si>
  <si>
    <t>10.1016/B978-0-12-409548-9.11721-X</t>
  </si>
  <si>
    <t>Decreased intelligence in children and exposure to fluoride and arsenic in drinking water</t>
  </si>
  <si>
    <t>Rocha-Amador</t>
  </si>
  <si>
    <t>Rocha-Amador 2007</t>
  </si>
  <si>
    <t>10.1590/s0102-311x2007001600018</t>
  </si>
  <si>
    <t>Neurodevelopmental outcomes among 2- to 3-year-old children in Bangladesh with elevated blood lead and exposure to arsenic and manganese in drinking water</t>
  </si>
  <si>
    <t>Rodrigues</t>
  </si>
  <si>
    <t>Rodrigues 2016</t>
  </si>
  <si>
    <t>10.1186/s12940-016-0127-y</t>
  </si>
  <si>
    <t>Airborne manganese exposure and neurobehavior in school-aged children living near a ferro-manganese alloy plant</t>
  </si>
  <si>
    <t>Rodrigues 2018</t>
  </si>
  <si>
    <t>10.1016/j.envres.2018.07.007</t>
  </si>
  <si>
    <t>Exploring the relationship between metal exposure, BDNF, and behavior in adolescent males</t>
  </si>
  <si>
    <t>Rodriguez-Carrillo</t>
  </si>
  <si>
    <t>Rodriguez-Carrillo 2022</t>
  </si>
  <si>
    <t>10.1016/j.ijheh.2021.113877</t>
  </si>
  <si>
    <t xml:space="preserve">Effect biomarker of interest in serum </t>
  </si>
  <si>
    <t>Autism Spectrum Disorder Initiation by Inflammation-Facilitated Neurotoxin Transport</t>
  </si>
  <si>
    <t>Roe</t>
  </si>
  <si>
    <t>Roe 2022</t>
  </si>
  <si>
    <t>10.1007/s11064-022-03527-x</t>
  </si>
  <si>
    <t>Lead neurotoxicity in children: is prenatal exposure more important than postnatal exposure?</t>
  </si>
  <si>
    <t>Ronchetti</t>
  </si>
  <si>
    <t>Ronchetti 2006</t>
  </si>
  <si>
    <t>10.1080/08035320600886224</t>
  </si>
  <si>
    <t>Non-cancer effects of chemical agents on children's health</t>
  </si>
  <si>
    <t>Röösli</t>
  </si>
  <si>
    <t>Röösli 2011</t>
  </si>
  <si>
    <t>10.1016/j.pbiomolbio.2011.08.006</t>
  </si>
  <si>
    <t>The frequency of polymorphisms affecting lead and mercury toxicity among children with autism</t>
  </si>
  <si>
    <t>Rose</t>
  </si>
  <si>
    <t>Rose 2008</t>
  </si>
  <si>
    <t>10.3844/ajbbsp.2008.85.94</t>
  </si>
  <si>
    <t>wrong study design, wrong population</t>
  </si>
  <si>
    <t>An economic impact assessment of lead exposure in the Commonwealth of Kentucky, USA: Making the case for statewide remediation</t>
  </si>
  <si>
    <t>Rosenblatt</t>
  </si>
  <si>
    <t>Rosenblatt 2007</t>
  </si>
  <si>
    <t>10.1504/IJEP.2007.014821</t>
  </si>
  <si>
    <t>Building the world that kills US: The politics of lead, science, and polluted homes, 1970 to 2000</t>
  </si>
  <si>
    <t>Rosner</t>
  </si>
  <si>
    <t>Rosner 2016</t>
  </si>
  <si>
    <t>10.1177/0096144215623954</t>
  </si>
  <si>
    <t>Environmental toxicants and autism spectrum disorders: a systematic review</t>
  </si>
  <si>
    <t>Rossignol</t>
  </si>
  <si>
    <t>Rossignol 2014</t>
  </si>
  <si>
    <t>10.1038/tp.2014.4</t>
  </si>
  <si>
    <t>Testing the dose-response specification in epidemiology: public health and policy consequences for lead</t>
  </si>
  <si>
    <t>Rothenberg</t>
  </si>
  <si>
    <t>Rothenberg 2005</t>
  </si>
  <si>
    <t>10.1289/ehp.7691</t>
  </si>
  <si>
    <t>Maternal methylmercury exposure through rice ingestion and offspring neurodevelopment: A prospective cohort study</t>
  </si>
  <si>
    <t>Rothenberg 2016</t>
  </si>
  <si>
    <t>10.1016/j.ijheh.2016.07.014</t>
  </si>
  <si>
    <t>Maternal methylmercury exposure through rice ingestion and child neurodevelopment in the first three years: a prospective cohort study in rural China</t>
  </si>
  <si>
    <t>Rothenberg 2021</t>
  </si>
  <si>
    <t>10.1186/s12940-021-00732-z</t>
  </si>
  <si>
    <t>ERF update, IQ</t>
  </si>
  <si>
    <t>Lead exposure and behavior among young children in Chennai, India</t>
  </si>
  <si>
    <t>Roy</t>
  </si>
  <si>
    <t>Roy 2009</t>
  </si>
  <si>
    <t>10.1289/ehp.0900625</t>
  </si>
  <si>
    <t>Behavior and ADHD</t>
  </si>
  <si>
    <t>Hemoglobin, lead exposure, and intelligence quotient: effect modification by the DRD2 Taq IA polymorphism</t>
  </si>
  <si>
    <t>Roy 2011</t>
  </si>
  <si>
    <t>10.1289/ehp.0901878</t>
  </si>
  <si>
    <t>Roy 2013 preferred (more recent</t>
  </si>
  <si>
    <t>Effect modification by transferrin C2 polymorphism on lead exposure, hemoglobin levels, and IQ</t>
  </si>
  <si>
    <t>Roy 2013</t>
  </si>
  <si>
    <t>10.1016/j.neuro.2013.05.005</t>
  </si>
  <si>
    <t>Environmental lead exposure is associated with neurocognitive dysfunction in children with chronic kidney disease</t>
  </si>
  <si>
    <t>Ruebner</t>
  </si>
  <si>
    <t>Ruebner 2019</t>
  </si>
  <si>
    <t>10.1007/s00467-019-04306-7</t>
  </si>
  <si>
    <t>Childhood exposure to manganese and postural instability in children living near a ferromanganese refinery in Southeastern Ohio</t>
  </si>
  <si>
    <t>Rugless</t>
  </si>
  <si>
    <t>Rugless 2014</t>
  </si>
  <si>
    <t>10.1016/j.ntt.2013.12.005</t>
  </si>
  <si>
    <t>Child neurodevelopment in a Bolivian mining city</t>
  </si>
  <si>
    <t>Ruiz-Castell</t>
  </si>
  <si>
    <t>Ruiz-Castell 2012</t>
  </si>
  <si>
    <t>10.1016/j.envres.2011.12.001</t>
  </si>
  <si>
    <t>Risk Profiling of Methylmercury in the Consumption of Dried Tamban (Sardinella lemuru) by the Filipino Consuming Population</t>
  </si>
  <si>
    <t>Rustia</t>
  </si>
  <si>
    <t>Rustia 2022</t>
  </si>
  <si>
    <t>Combining data from multiple sources, with applications to environmental risk assessment</t>
  </si>
  <si>
    <t>Ryan</t>
  </si>
  <si>
    <t>Ryan 2008</t>
  </si>
  <si>
    <t>10.1002/sim.3053</t>
  </si>
  <si>
    <t>methodology, IQ, MeHg</t>
  </si>
  <si>
    <t>DNA methylation at birth potentially mediates the association between prenatal lead (Pb) exposure and infant neurodevelopmental outcomes</t>
  </si>
  <si>
    <t>Rygiel</t>
  </si>
  <si>
    <t>Rygiel 2021</t>
  </si>
  <si>
    <t>10.1093/eep/dvab005</t>
  </si>
  <si>
    <t>Preterm birth leads to impaired rich-club organization and fronto-paralimbic/limbic structural connectivity in newborns</t>
  </si>
  <si>
    <t>Sa de Almeida</t>
  </si>
  <si>
    <t>Sa de Almeida 2021</t>
  </si>
  <si>
    <t>10.1016/j.neuroimage.2020.117440</t>
  </si>
  <si>
    <t xml:space="preserve">wrong exposure, wrong outcome </t>
  </si>
  <si>
    <t>In vitro biomarkers of developmental neurotoxicity</t>
  </si>
  <si>
    <t>Sachana</t>
  </si>
  <si>
    <t>Sachana 2011</t>
  </si>
  <si>
    <t>10.1016/B978-0-12-382032-7.10019-0</t>
  </si>
  <si>
    <t>The influence of lead content in drinking water, household dust, soil, and paint on blood lead levels of children in Flin Flon, Manitoba and Creighton, Saskatchewan</t>
  </si>
  <si>
    <t>Safruk</t>
  </si>
  <si>
    <t>Safruk 2017</t>
  </si>
  <si>
    <t>10.1016/j.scitotenv.2017.03.141</t>
  </si>
  <si>
    <t>Chemical fractionation of heavy metals in fine particulate matter and their health risk assessment through inhalation exposure pathway</t>
  </si>
  <si>
    <t>Sah</t>
  </si>
  <si>
    <t>Sah 2019</t>
  </si>
  <si>
    <t>10.1007/s10653-018-0223-8</t>
  </si>
  <si>
    <t>Neurodevelopmental impact of the offspring by thyroid hormone system-disrupting environmental chemicals during pregnancy</t>
  </si>
  <si>
    <t>Salazar</t>
  </si>
  <si>
    <t>Salazar 2021</t>
  </si>
  <si>
    <t>10.1016/j.envres.2021.111345</t>
  </si>
  <si>
    <t>Assessing the IQ-earnings link in environmental lead impacts on children: have hazard effects been overstated?</t>
  </si>
  <si>
    <t>Salkever</t>
  </si>
  <si>
    <t>Salkever 2014</t>
  </si>
  <si>
    <t>10.1016/j.envres.2014.03.018</t>
  </si>
  <si>
    <t>Perinatal and Childhood Exposure to Cadmium, Manganese, and Metal Mixtures and Effects on Cognition and Behavior: A Review of Recent Literature</t>
  </si>
  <si>
    <t>Sanders</t>
  </si>
  <si>
    <t>Sanders 2015</t>
  </si>
  <si>
    <t>10.1007/s40572-015-0058-8</t>
  </si>
  <si>
    <t>Mixtures</t>
  </si>
  <si>
    <t>Lead (Pb) neurotoxicology and cognition</t>
  </si>
  <si>
    <t>Santa Maria</t>
  </si>
  <si>
    <t>Santa Maria 2019</t>
  </si>
  <si>
    <t>10.1080/21622965.2018.1428803</t>
  </si>
  <si>
    <t>Neuropsychological Effects of Mercury Exposure in Children and Adolescents of the Amazon Region, Brazil</t>
  </si>
  <si>
    <t>Santos-Lima</t>
  </si>
  <si>
    <t>Santos-Lima 2020</t>
  </si>
  <si>
    <t>10.1016/j.neuro.2020.04.004</t>
  </si>
  <si>
    <t>The Implications of Exposure to Neurotoxic Metals for Cognitive Development of Children and Adolescents</t>
  </si>
  <si>
    <t>Santos-Lima 2022</t>
  </si>
  <si>
    <t>10.1007/978-3-031-06908-6_9</t>
  </si>
  <si>
    <t>Assessing the impact of hazardous waste on children's health: The exposome paradigm</t>
  </si>
  <si>
    <t>Sarigiannis</t>
  </si>
  <si>
    <t>Sarigiannis 2017</t>
  </si>
  <si>
    <t>10.1016/j.envres.2017.06.031</t>
  </si>
  <si>
    <t>Elevated titanium levels in Iraqi children with neurodevelopmental disorders echo findings in occupation soldiers</t>
  </si>
  <si>
    <t>Savabieasfahani</t>
  </si>
  <si>
    <t>Savabieasfahani 2015</t>
  </si>
  <si>
    <t>10.1007/s10661-014-4127-5</t>
  </si>
  <si>
    <t>Mercury Exposure, Fish Consumption, and Perceived Risk among Pregnant Women in Coastal Florida</t>
  </si>
  <si>
    <t>Schaefer</t>
  </si>
  <si>
    <t>Schaefer 2019</t>
  </si>
  <si>
    <t>10.3390/ijerph16244903</t>
  </si>
  <si>
    <t>A framework for assessing the impact of chemical exposures on neurodevelopment in ECHO: Opportunities and challenges</t>
  </si>
  <si>
    <t>Schantz</t>
  </si>
  <si>
    <t>Schantz 2020</t>
  </si>
  <si>
    <t>10.1016/j.envres.2020.109709</t>
  </si>
  <si>
    <t>Environmental Metal Exposure, Neurodevelopment, and the Role of Iron Status: a Review</t>
  </si>
  <si>
    <t>Schildroth</t>
  </si>
  <si>
    <t>Schildroth 2022</t>
  </si>
  <si>
    <t>10.1007/s40572-022-00378-0</t>
  </si>
  <si>
    <t>Associations of an industry-relevant metal mixture with verbal learning and memory in Italian adolescents: The modifying role of iron status</t>
  </si>
  <si>
    <t>Schildroth 2023</t>
  </si>
  <si>
    <t>10.1016/j.envres.2023.115457</t>
  </si>
  <si>
    <t>Sources of Lead and Steps to Reduce Lead Exposure in Homes, Child Care, and Early Learning Environments</t>
  </si>
  <si>
    <t>Schlieber</t>
  </si>
  <si>
    <t>Schlieber 2016</t>
  </si>
  <si>
    <t>10.1080/00094056.2016.1180886</t>
  </si>
  <si>
    <t>Reduced intellectual development in children with prenatal lead exposure</t>
  </si>
  <si>
    <t>Schnaas</t>
  </si>
  <si>
    <t>Schnaas 2006</t>
  </si>
  <si>
    <t>10.1289/ehp.8552</t>
  </si>
  <si>
    <t>Epigenetic mechanisms of adverse neurodevelopment in response to lead exposure and prenatal stress and the combination: The road ahead</t>
  </si>
  <si>
    <t>Schneider</t>
  </si>
  <si>
    <t>Schneider 2016</t>
  </si>
  <si>
    <t>10.1007/978-3-319-25325-1_10</t>
  </si>
  <si>
    <t>Childhood lead poisoning and the new Centers for Disease Control and Prevention guidelines for lead exposure</t>
  </si>
  <si>
    <t>Schnur</t>
  </si>
  <si>
    <t>Schnur 2014</t>
  </si>
  <si>
    <t>10.1002/2327-6924.12112</t>
  </si>
  <si>
    <t>Defining a lowest observable adverse effect hair concentrations of mercury for neurodevelopmental effects of prenatal methylmercury exposure through maternal fish consumption: a systematic review</t>
  </si>
  <si>
    <t>Schoeman</t>
  </si>
  <si>
    <t>Schoeman 2009</t>
  </si>
  <si>
    <t>10.1097/FTD.0b013e3181bb0ea1</t>
  </si>
  <si>
    <t>Monoallelic intragenic POU3F2 variants lead to neurodevelopmental delay and hyperphagic obesity, confirming the gene's candidacy in 6q16.1 deletions</t>
  </si>
  <si>
    <t>Schönauer</t>
  </si>
  <si>
    <t>Schönauer 2023</t>
  </si>
  <si>
    <t>10.1016/j.ajhg.2023.04.010</t>
  </si>
  <si>
    <t>Using mouse models of autism spectrum disorders to study the neurotoxicology of gene-environment interactions</t>
  </si>
  <si>
    <t>Schwartzer</t>
  </si>
  <si>
    <t>Schwartzer 2013</t>
  </si>
  <si>
    <t>10.1016/j.ntt.2012.08.007</t>
  </si>
  <si>
    <t>Tracing the long-term legacy of childhood lead exposure: A review of three decades of the Port Pirie Cohort study</t>
  </si>
  <si>
    <t>Searle</t>
  </si>
  <si>
    <t>Searle 2014</t>
  </si>
  <si>
    <t>10.1016/j.neuro.2014.04.004</t>
  </si>
  <si>
    <t>Review on a specific cohort, only old references cited (&lt;2005)</t>
  </si>
  <si>
    <t>Tumor necrosis factor alpha-induced recruitment of inflammatory mononuclear cells leads to inflammation and altered brain development in murine cytomegalovirusinfected newborn mice</t>
  </si>
  <si>
    <t>Seleme</t>
  </si>
  <si>
    <t>Seleme 2017</t>
  </si>
  <si>
    <t>10.1128/JVI.01983-16</t>
  </si>
  <si>
    <t>Neurodevelopment in Early Childhood Affected by Prenatal Lead Exposure and Iron Intake</t>
  </si>
  <si>
    <t>Shah-Kulkarni</t>
  </si>
  <si>
    <t>Shah-Kulkarni 2016</t>
  </si>
  <si>
    <t>10.1097/md.0000000000002508</t>
  </si>
  <si>
    <t>Neurodevelopment in Early Childhood Affected by Prenatal Lead Exposure and Iron Intake: Erratum</t>
  </si>
  <si>
    <t>10.1097/01.md.0000481800.63507.7f</t>
  </si>
  <si>
    <t>Prenatal exposure to mixtures of heavy metals and neurodevelopment in infants at 6 months</t>
  </si>
  <si>
    <t>Shah-Kulkarni 2020</t>
  </si>
  <si>
    <t>10.1016/j.envres.2020.109122</t>
  </si>
  <si>
    <t>The Seychelles Child Development Study: two decades of collaboration</t>
  </si>
  <si>
    <t>Shamlaye</t>
  </si>
  <si>
    <t>Shamlaye 2020</t>
  </si>
  <si>
    <t>10.1016/j.neuro.2020.09.023</t>
  </si>
  <si>
    <t>An overview of worldwide and regional time trends in total mercury levels in human blood and breast milk from 1966 to 2015 and their associations with health effects</t>
  </si>
  <si>
    <t>Sharma</t>
  </si>
  <si>
    <t>Sharma 2019</t>
  </si>
  <si>
    <t>10.1016/j.envint.2018.12.016</t>
  </si>
  <si>
    <t>Blood lead level in school going children of Jodhpur, Rajasthan, India</t>
  </si>
  <si>
    <t>Sharma 2021</t>
  </si>
  <si>
    <t>10.1515/TJB-2020-0418</t>
  </si>
  <si>
    <t>Association of newborn blood lead concentration with neurodevelopment outcome in early infancy</t>
  </si>
  <si>
    <t>Shekhawat</t>
  </si>
  <si>
    <t>Shekhawat 2021</t>
  </si>
  <si>
    <t>10.1016/j.jtemb.2021.126853</t>
  </si>
  <si>
    <t>A proteomic investigation of B lymphocytes in an autistic family: a pilot study of exposure to natural rubber latex (NRL) may lead to autism</t>
  </si>
  <si>
    <t>Shen</t>
  </si>
  <si>
    <t>Shen 2011</t>
  </si>
  <si>
    <t>10.1007/s12031-010-9463-5</t>
  </si>
  <si>
    <t>Association of multi-metals exposure with intelligence quotient score of children: A prospective cohort study</t>
  </si>
  <si>
    <t>Shen 2021</t>
  </si>
  <si>
    <t>10.1016/j.envint.2021.106692</t>
  </si>
  <si>
    <t>Prenatal polycyclic aromatic hydrocarbon exposure leads to behavioral deficits and downregulation of receptor tyrosine kinase, MET</t>
  </si>
  <si>
    <t>Sheng</t>
  </si>
  <si>
    <t>Sheng 2010</t>
  </si>
  <si>
    <t>10.1093/toxsci/kfq303</t>
  </si>
  <si>
    <t>Multiple exposures to heavy metals and changes in steroid hormones production in 4-year-old children</t>
  </si>
  <si>
    <t>Shi</t>
  </si>
  <si>
    <t>Shi 2023</t>
  </si>
  <si>
    <t>10.1038/s41370-023-00539-9</t>
  </si>
  <si>
    <t>Lead (Pb)-induced oxidative stress mediates sex-specific autistic-like behaviour in Drosophila melanogaster</t>
  </si>
  <si>
    <t>Shilpa</t>
  </si>
  <si>
    <t>Shilpa 2021</t>
  </si>
  <si>
    <t>10.1007/s12035-021-02546-z</t>
  </si>
  <si>
    <t>Surgical complications of vagal nerve stimulation for intractable epilepsy: Findings from 26 cases</t>
  </si>
  <si>
    <t>Shimogawa</t>
  </si>
  <si>
    <t>Shimogawa 2014</t>
  </si>
  <si>
    <t>Prenatal and concurrent cocaine, alcohol, marijuana, and tobacco effects of adolescent cognition and attention</t>
  </si>
  <si>
    <t>Singer</t>
  </si>
  <si>
    <t>Singer 2018</t>
  </si>
  <si>
    <t>10.1016/j.drugalcdep.2018.06.022</t>
  </si>
  <si>
    <t>Cognitive and functional outcomes at age 21 after prenatal cocaine/polydrug exposure and foster/adoptive care</t>
  </si>
  <si>
    <t>Singer 2023</t>
  </si>
  <si>
    <t>10.1016/j.ntt.2023.107151</t>
  </si>
  <si>
    <t>Prenatal exposure to environmental contaminants and behavioural problems at age 7-8years</t>
  </si>
  <si>
    <t>Sioen</t>
  </si>
  <si>
    <t>Sioen 2013</t>
  </si>
  <si>
    <t>10.1016/j.envint.2013.06.014</t>
  </si>
  <si>
    <t>Hair trace elements in women with alcohol abuse and their offspring</t>
  </si>
  <si>
    <t>Skalny</t>
  </si>
  <si>
    <t>Skalny 2016</t>
  </si>
  <si>
    <t>10.5414/TEX01440</t>
  </si>
  <si>
    <t>Environmental and health hazards of military metal pollution</t>
  </si>
  <si>
    <t>Skalny 2021</t>
  </si>
  <si>
    <t>10.1016/j.envres.2021.111568</t>
  </si>
  <si>
    <t>Late effects of low blood lead concentrations in children on school performance and cognitive functions</t>
  </si>
  <si>
    <t>Skerfving</t>
  </si>
  <si>
    <t>Skerfving 2015</t>
  </si>
  <si>
    <t>10.1016/j.neuro.2015.05.009</t>
  </si>
  <si>
    <t>Metal and essential element concentrations during pregnancy and associations with autism spectrum disorder and attention-deficit/hyperactivity disorder in children</t>
  </si>
  <si>
    <t>Skogheim</t>
  </si>
  <si>
    <t>Skogheim 2021</t>
  </si>
  <si>
    <t>10.1016/j.envint.2021.106468</t>
  </si>
  <si>
    <t>ADHD, ASD</t>
  </si>
  <si>
    <t>Scholastic achievement among children enrolled in the Seychelles Child Development Study</t>
  </si>
  <si>
    <t>Sloane-Reeves</t>
  </si>
  <si>
    <t>Sloane-Reeves 2020</t>
  </si>
  <si>
    <t>10.1016/j.neuro.2020.09.027</t>
  </si>
  <si>
    <t>Integrative bioinformatics identifies postnatal lead (Pb) exposure disrupts developmental cortical plasticity</t>
  </si>
  <si>
    <t>Smith</t>
  </si>
  <si>
    <t>Smith 2018</t>
  </si>
  <si>
    <t>10.1038/s41598-018-34592-4</t>
  </si>
  <si>
    <t>USDA Nutrition Evidence Systematic Reviews</t>
  </si>
  <si>
    <t>Snetselaar</t>
  </si>
  <si>
    <t>Snetselaar 2020</t>
  </si>
  <si>
    <t>10.52570/nesr.Dgac2020.Sr0502</t>
  </si>
  <si>
    <t>Prenatal mercury exposure, neurodevelopment and apolipoprotein E genetic polymorphism</t>
  </si>
  <si>
    <t>Snoj Tratnik</t>
  </si>
  <si>
    <t>Snoj Tratnik 2017</t>
  </si>
  <si>
    <t>10.1016/j.envres.2016.08.035</t>
  </si>
  <si>
    <t>Gestational methylazoxymethanol exposure leads to NMDAR dysfunction in hippocampus during early development and lasting deficits in learning</t>
  </si>
  <si>
    <t>Snyder</t>
  </si>
  <si>
    <t>Snyder 2013</t>
  </si>
  <si>
    <t>10.1038/npp.2012.180</t>
  </si>
  <si>
    <t>Mercury exposure in pregnancy: a review</t>
  </si>
  <si>
    <t>Solan</t>
  </si>
  <si>
    <t>Solan 2014</t>
  </si>
  <si>
    <t>10.1515/jpm-2013-0349</t>
  </si>
  <si>
    <t>Childhood lead biokinetics and associations with age among a group of lead-poisoned children in China</t>
  </si>
  <si>
    <t>Specht</t>
  </si>
  <si>
    <t>Specht 2019</t>
  </si>
  <si>
    <t>10.1038/s41370-018-0036-y</t>
  </si>
  <si>
    <t>Prevention of fluoride ion-induced IQ loss in children</t>
  </si>
  <si>
    <t>Spittle</t>
  </si>
  <si>
    <t>Spittle 2017</t>
  </si>
  <si>
    <t>A case study of neurodevelopmental risks from combined exposures to lead, methyl-mercury, inorganic arsenic, polychlorinated biphenyls, polybrominated diphenyl ethers and fluoride</t>
  </si>
  <si>
    <t>Sprong</t>
  </si>
  <si>
    <t>Sprong 2023</t>
  </si>
  <si>
    <t>10.1016/j.ijheh.2023.114167</t>
  </si>
  <si>
    <t>"Scaling factor" between Pb and meHg - Useful paper but not for ERF</t>
  </si>
  <si>
    <t>Prenatal methylmercury exposure and developmental outcomes: review of the evidence and discussion of future directions</t>
  </si>
  <si>
    <t>Spurgeon</t>
  </si>
  <si>
    <t>Spurgeon 2006</t>
  </si>
  <si>
    <t>10.1289/ehp.7859</t>
  </si>
  <si>
    <t>â€œBeginning with the Smallest Intakeâ€</t>
  </si>
  <si>
    <t>Sripada</t>
  </si>
  <si>
    <t>Sripada 2017</t>
  </si>
  <si>
    <t>10.1016/j.neuron.2017.08.009</t>
  </si>
  <si>
    <t>Evaluating fish-consumption in pregnancy</t>
  </si>
  <si>
    <t>Stanley</t>
  </si>
  <si>
    <t>Stanley 2019</t>
  </si>
  <si>
    <t>Exposure to metal mixtures and neuropsychological functioning in middle childhood</t>
  </si>
  <si>
    <t>Stein</t>
  </si>
  <si>
    <t>Stein 2022</t>
  </si>
  <si>
    <t>10.1016/j.neuro.2022.09.003</t>
  </si>
  <si>
    <t>A review of the studies of the cardiovascular health effects of methylmercury with consideration of their suitability for risk assessment</t>
  </si>
  <si>
    <t>Stern</t>
  </si>
  <si>
    <t>Stern 2005</t>
  </si>
  <si>
    <t>10.1016/j.envres.2004.07.016</t>
  </si>
  <si>
    <t>Response inhibition at 8 and 9 1/2 years of age in children prenatally exposed to PCBs</t>
  </si>
  <si>
    <t>Stewart</t>
  </si>
  <si>
    <t>Stewart 2005</t>
  </si>
  <si>
    <t>10.1016/j.ntt.2005.07.003</t>
  </si>
  <si>
    <t>The relationship between prenatal PCB exposure and intelligence (IQ) in 9-year-old children</t>
  </si>
  <si>
    <t>Stewart 2008</t>
  </si>
  <si>
    <t>10.1289/ehp.11058</t>
  </si>
  <si>
    <t>Early-life exposure to air pollution and greater use of academic support services in childhood: a population-based cohort study of urban children</t>
  </si>
  <si>
    <t>Stingone</t>
  </si>
  <si>
    <t>Stingone 2017</t>
  </si>
  <si>
    <t>10.1186/s12940-017-0210-z</t>
  </si>
  <si>
    <t>Receipt of Early Intervention Services before Age 3 Years and Performance on Third-Grade Standardized Tests among Children Exposed to Lead</t>
  </si>
  <si>
    <t>Stingone 2022</t>
  </si>
  <si>
    <t>10.1001/jamapediatrics.2022.0008</t>
  </si>
  <si>
    <t>Eating fish for two</t>
  </si>
  <si>
    <t>Strain</t>
  </si>
  <si>
    <t>Strain 2014</t>
  </si>
  <si>
    <t>10.1111/nbu.12088</t>
  </si>
  <si>
    <t>Prenatal exposure to methyl mercury from fish consumption and polyunsaturated fatty acids: associations with child development at 20 mo of age in an observational study in the Republic of Seychelles</t>
  </si>
  <si>
    <t>Strain 2015</t>
  </si>
  <si>
    <t>10.3945/ajcn.114.100503</t>
  </si>
  <si>
    <t>Nutrition and neurodevelopment: the search for candidate nutrients in the Seychelles Child Development Nutrition Study</t>
  </si>
  <si>
    <t>Strain 2020</t>
  </si>
  <si>
    <t>10.1016/j.neuro.2020.09.021</t>
  </si>
  <si>
    <t>Associations of prenatal methylmercury exposure and maternal polyunsaturated fatty acid status with neurodevelopmental outcomes at 7 years of age: results from the Seychelles Child Development Study Nutrition Cohort 2</t>
  </si>
  <si>
    <t>Strain 2021</t>
  </si>
  <si>
    <t>10.1093/ajcn/nqaa338</t>
  </si>
  <si>
    <t>wrong study design, wrong outcome</t>
  </si>
  <si>
    <t>Toddler temperament and prenatal exposure to lead and maternal depression</t>
  </si>
  <si>
    <t>Stroustrup</t>
  </si>
  <si>
    <t>Stroustrup 2016</t>
  </si>
  <si>
    <t>10.1186/s12940-016-0147-7</t>
  </si>
  <si>
    <t>Association of black carbon with cognition among children in a prospective birth cohort study</t>
  </si>
  <si>
    <t>Suglia</t>
  </si>
  <si>
    <t>Suglia 2008</t>
  </si>
  <si>
    <t>10.1093/aje/kwm308</t>
  </si>
  <si>
    <t>Inverse association between intelligence quotient and urinary retinol binding protein in Chinese school-age children with low blood lead levels: Results from a cross-sectional investigation</t>
  </si>
  <si>
    <t>Sun</t>
  </si>
  <si>
    <t>Sun 2015</t>
  </si>
  <si>
    <t>10.1016/j.chemosphere.2015.01.036</t>
  </si>
  <si>
    <t>Prenatal exposure to endocrine-disrupting chemicals and thyroid function in neonates: A systematic review and meta-analysis</t>
  </si>
  <si>
    <t>Sun 2022</t>
  </si>
  <si>
    <t>10.1016/j.ecoenv.2022.113215</t>
  </si>
  <si>
    <t>Mercury in foods</t>
  </si>
  <si>
    <t>Sunderland</t>
  </si>
  <si>
    <t>Sunderland 2013</t>
  </si>
  <si>
    <t>10.1533/9780857098917.2.392</t>
  </si>
  <si>
    <t>Altered metabolism of maternal micronutrients and omega 3 fatty acids epigenetically regulate matrix metalloproteinases in preterm pregnancy: a novel hypothesis</t>
  </si>
  <si>
    <t>Sundrani</t>
  </si>
  <si>
    <t>Sundrani 2011</t>
  </si>
  <si>
    <t>10.1016/j.mehy.2011.08.001</t>
  </si>
  <si>
    <t>Neuropsychological function in children with blood lead levels &lt;10 microg/dL</t>
  </si>
  <si>
    <t>Surkan</t>
  </si>
  <si>
    <t>Surkan 2007</t>
  </si>
  <si>
    <t>10.1016/j.neuro.2007.07.007</t>
  </si>
  <si>
    <t>Categorical exposure only</t>
  </si>
  <si>
    <t>Maternal self-esteem, exposure to lead, and child neurodevelopment</t>
  </si>
  <si>
    <t>Surkan 2008</t>
  </si>
  <si>
    <t>10.1016/j.neuro.2007.11.006</t>
  </si>
  <si>
    <t>Neurobehavioral effects of prenatal exposure to methylmercury and PCBs, and seafood intake: neonatal behavioral assessment scale results of Tohoku study of child development</t>
  </si>
  <si>
    <t>Suzuki</t>
  </si>
  <si>
    <t>Suzuki 2010</t>
  </si>
  <si>
    <t>10.1016/j.envres.2010.07.001</t>
  </si>
  <si>
    <t>Geographic analysis of blood lead levels and neighborhood-level risk factors among children born in 2008â€“2010</t>
  </si>
  <si>
    <t>Taggert</t>
  </si>
  <si>
    <t>Taggert 2019</t>
  </si>
  <si>
    <t>Source Identification Analysis of Lead in the Blood of Japanese Children by Stable Isotope Analysis</t>
  </si>
  <si>
    <t>Takagi</t>
  </si>
  <si>
    <t>Takagi 2020</t>
  </si>
  <si>
    <t>10.3390/ijerph17217784</t>
  </si>
  <si>
    <t>wrong study design, wrong setting</t>
  </si>
  <si>
    <t>Longitudinal associations of age and prenatal lead exposure on cortisol secretion of 12-24 month-old infants from Mexico City</t>
  </si>
  <si>
    <t>Tamayo</t>
  </si>
  <si>
    <t>Tamayo 2016</t>
  </si>
  <si>
    <t>10.1186/s12940-016-0124-1</t>
  </si>
  <si>
    <t>Maternal stress modifies the effect of exposure to lead during pregnancy and 24-month old children's neurodevelopment</t>
  </si>
  <si>
    <t>Tamayo 2017</t>
  </si>
  <si>
    <t>10.1016/j.envint.2016.11.005</t>
  </si>
  <si>
    <t>Effects of prenatal exposure to coal-burning pollutants on children's development in China</t>
  </si>
  <si>
    <t>Tang</t>
  </si>
  <si>
    <t>Tang 2008</t>
  </si>
  <si>
    <t>10.1289/ehp.10471</t>
  </si>
  <si>
    <t>Effects of lead pollution in SY river on children's intelligence</t>
  </si>
  <si>
    <t>Tang 2012</t>
  </si>
  <si>
    <t>Blood lead levels and neurodevelopmental function in perinatally HIV-exposed, uninfected children in a US-based longitudinal cohort study</t>
  </si>
  <si>
    <t>Tassiopoulos</t>
  </si>
  <si>
    <t>Tassiopoulos 2017</t>
  </si>
  <si>
    <t>10.1089/aid.2016.0265</t>
  </si>
  <si>
    <t>Prenatal exposures to environmental chemicals and birth order as risk factors for child behavior problems</t>
  </si>
  <si>
    <t>Tatsuta</t>
  </si>
  <si>
    <t>Tatsuta 2012</t>
  </si>
  <si>
    <t>10.1016/j.envres.2012.02.001</t>
  </si>
  <si>
    <t>Impacts of prenatal exposures to polychlorinated biphenyls, methylmercury, and lead on intellectual ability of 42-month-old children in Japan</t>
  </si>
  <si>
    <t>Tatsuta 2014</t>
  </si>
  <si>
    <t>10.1016/j.envres.2014.05.024</t>
  </si>
  <si>
    <t>Psychomotor Ability in Children Prenatally Exposed to Methylmercury: The 18-Month Follow-Up of Tohoku Study of Child Development</t>
  </si>
  <si>
    <t>Tatsuta 2017</t>
  </si>
  <si>
    <t>10.1620/tjem.242.1</t>
  </si>
  <si>
    <t>Psychomotor only</t>
  </si>
  <si>
    <t>Prenatal and postnatal lead exposures and intellectual development among 12-year-old Japanese children</t>
  </si>
  <si>
    <t>Tatsuta 2020</t>
  </si>
  <si>
    <t>10.1016/j.envres.2020.109844</t>
  </si>
  <si>
    <t xml:space="preserve">Analysis stratified by sex </t>
  </si>
  <si>
    <t>The relationship between atmospheric lead emissions and aggressive crime: an ecological study</t>
  </si>
  <si>
    <t>Taylor</t>
  </si>
  <si>
    <t>Taylor 2016</t>
  </si>
  <si>
    <t>10.1186/s12940-016-0122-3</t>
  </si>
  <si>
    <t>Data relating to prenatal lead exposure and child IQ at 4 and 8 years old in the Avon Longitudinal Study of Parents and Children</t>
  </si>
  <si>
    <t>Taylor 2017</t>
  </si>
  <si>
    <t>10.1016/j.neuro.2017.07.025</t>
  </si>
  <si>
    <t>Prenatal exposure</t>
  </si>
  <si>
    <t>Effects of low-level prenatal lead exposure on child IQ at 4 and 8 years in a UK birth cohort study</t>
  </si>
  <si>
    <t>Taylor 2017b</t>
  </si>
  <si>
    <t>10.1016/j.neuro.2017.07.003</t>
  </si>
  <si>
    <t>Prenatal lead, cadmium and mercury exposure and associations with motor skills at age 7-years in a UK observational birth cohort</t>
  </si>
  <si>
    <t>Taylor 2018</t>
  </si>
  <si>
    <t>10.1016/j.envint.2018.04.032</t>
  </si>
  <si>
    <t>Prevalence of childhood lead poisoning and respiratory disease associated with lead smelter emissions</t>
  </si>
  <si>
    <t>Taylor 2019</t>
  </si>
  <si>
    <t>10.1016/j.envint.2019.01.062</t>
  </si>
  <si>
    <t>Are Headstart gains on the g factor? A meta-analysis</t>
  </si>
  <si>
    <t>te Nijenhuis</t>
  </si>
  <si>
    <t>te Nijenhuis 2014</t>
  </si>
  <si>
    <t>10.1016/j.intell.2014.07.001</t>
  </si>
  <si>
    <t>Longitudinal associations between blood lead concentrations lower than 10 microg/dL and neurobehavioral development in environmentally exposed children in Mexico City</t>
  </si>
  <si>
    <t>Téllez-Rojo</t>
  </si>
  <si>
    <t>Téllez-Rojo 2006</t>
  </si>
  <si>
    <t>10.1542/peds.2005-3123</t>
  </si>
  <si>
    <t>Associations between time-weighted postnatal methylmercury exposure from fish consumption and neurodevelopmental outcomes through 24 years of age in the Seychelles Child Development Study Main Cohort</t>
  </si>
  <si>
    <t>Thurston</t>
  </si>
  <si>
    <t>Thurston 2022</t>
  </si>
  <si>
    <t>10.1016/j.neuro.2022.05.016</t>
  </si>
  <si>
    <t>Mercury hair concentrations and dietary exposure among Inuit preschool children in Nunavut, Canada</t>
  </si>
  <si>
    <t>Tian</t>
  </si>
  <si>
    <t>Tian 2011</t>
  </si>
  <si>
    <t>10.1016/j.envint.2010.05.017</t>
  </si>
  <si>
    <t>Prevalence and Factors Associated with High Levels of Aluminum, Arsenic, Cadmium, Lead, and Mercury in Hair Samples of Well-Nourished Thai Children in Bangkok and Perimeters</t>
  </si>
  <si>
    <t>Tippairote</t>
  </si>
  <si>
    <t>Tippairote 2019</t>
  </si>
  <si>
    <t>10.1007/s12011-018-1435-6</t>
  </si>
  <si>
    <t>Association of maternal and cord blood barium exposure with preschoolers' intellectual function: Evidence from the Ma'anshan Birth Cohort (MABC) study</t>
  </si>
  <si>
    <t>Tong</t>
  </si>
  <si>
    <t>Tong 2023</t>
  </si>
  <si>
    <t>10.1016/j.scitotenv.2022.160029</t>
  </si>
  <si>
    <t>wrong exposure,Not for Pb or MeHg</t>
  </si>
  <si>
    <t>In utero p,p'-DDE exposure and infant neurodevelopment: a perinatal cohort in Mexico</t>
  </si>
  <si>
    <t>Torres-Sánchez</t>
  </si>
  <si>
    <t>Torres-Sánchez 2007</t>
  </si>
  <si>
    <t>10.1289/ehp.9566</t>
  </si>
  <si>
    <t>Lead concentrations and isotope ratios in blood, breastmilk and feces: contribution of both lactation and soil/dust exposure to infants in a lead mining area, Kabwe, Zambia</t>
  </si>
  <si>
    <t>Toyomaki</t>
  </si>
  <si>
    <t>Toyomaki 2021</t>
  </si>
  <si>
    <t>10.1016/j.envpol.2021.117456</t>
  </si>
  <si>
    <t>Public health and economic consequences of methyl mercury toxicity to the developing brain</t>
  </si>
  <si>
    <t>Trasande</t>
  </si>
  <si>
    <t>Trasande 2005</t>
  </si>
  <si>
    <t>10.1289/ehp.7743</t>
  </si>
  <si>
    <t>Applying cost analyses to drive policy that protects children: mercury as a case study</t>
  </si>
  <si>
    <t>Trasande 2006</t>
  </si>
  <si>
    <t>10.1196/annals.1371.034</t>
  </si>
  <si>
    <t>Mental retardation and prenatal methylmercury toxicity</t>
  </si>
  <si>
    <t>10.1002/ajim.20268</t>
  </si>
  <si>
    <t>Methylmercury exposure in a subsistence fishing community in Lake Chapala, Mexico: an ecological approach</t>
  </si>
  <si>
    <t>Trasande 2010</t>
  </si>
  <si>
    <t>10.1186/1476-069x-9-1</t>
  </si>
  <si>
    <t>Reducing the staggering costs of environmental disease in children, estimated at $76.6 billion in 2008</t>
  </si>
  <si>
    <t>Trasande 2011</t>
  </si>
  <si>
    <t>10.1377/hlthaff.2010.1239</t>
  </si>
  <si>
    <t>Mercury speciation in prenatal exposure in Slovenian and Croatian population - PHIME study</t>
  </si>
  <si>
    <t>Trdin</t>
  </si>
  <si>
    <t>Trdin 2019</t>
  </si>
  <si>
    <t>10.1016/j.envres.2019.108627</t>
  </si>
  <si>
    <t>The effect of cast iron water mains on drinking water lead</t>
  </si>
  <si>
    <t>Trueman</t>
  </si>
  <si>
    <t>Trueman 2015</t>
  </si>
  <si>
    <t xml:space="preserve">Wrong exposure, wrong population, wrong study design </t>
  </si>
  <si>
    <t>Children's environmental health based on birth cohort studies of Asia</t>
  </si>
  <si>
    <t>Tsai</t>
  </si>
  <si>
    <t>Tsai 2017</t>
  </si>
  <si>
    <t>10.1016/j.scitotenv.2017.07.081</t>
  </si>
  <si>
    <t>Children's environmental health based on birth cohort studies of Asia (2) - air pollution, pesticides, and heavy metals</t>
  </si>
  <si>
    <t>Tsai 2019</t>
  </si>
  <si>
    <t>10.1016/j.envres.2019.108754</t>
  </si>
  <si>
    <t>Lead levels in Canadian children: Do we have to review the standard?</t>
  </si>
  <si>
    <t>Tsekrekos</t>
  </si>
  <si>
    <t>Tsekrekos 2005</t>
  </si>
  <si>
    <t>Continual Decrease in Blood Lead Level in Americans: United States National Health Nutrition and Examination Survey 1999-2014</t>
  </si>
  <si>
    <t>Tsoi</t>
  </si>
  <si>
    <t>Tsoi 2016</t>
  </si>
  <si>
    <t>10.1016/j.amjmed.2016.05.042</t>
  </si>
  <si>
    <t>Prenatal exposure to metal mixtures and newborn neurobehavior in the Rhode Island Child Health Study</t>
  </si>
  <si>
    <t>Tung</t>
  </si>
  <si>
    <t>Tung 2022</t>
  </si>
  <si>
    <t>10.1097/EE9.0000000000000194</t>
  </si>
  <si>
    <t>Portable HEPA Filter Air Cleaner Use during Pregnancy and Childrenâ€™s Cognitive Performance at Four Years of Age: The UGAAR Randomized Controlled Trial</t>
  </si>
  <si>
    <t>Ulziikhuu</t>
  </si>
  <si>
    <t>Ulziikhuu 2022</t>
  </si>
  <si>
    <t>10.1289/EHP10302</t>
  </si>
  <si>
    <t>Low-level mercury, omega-3 index and neurobehavioral outcomes in an adult US coastal population</t>
  </si>
  <si>
    <t>Vacchi-Suzzi</t>
  </si>
  <si>
    <t>Vacchi-Suzzi 2016</t>
  </si>
  <si>
    <t>10.1007/s00394-015-0890-5</t>
  </si>
  <si>
    <t>High Mercury Levels in the Indigenous Population of the YaigojÃ© Apaporis National Natural Park, Colombian Amazon</t>
  </si>
  <si>
    <t>Valdelamar-Villegas</t>
  </si>
  <si>
    <t>Valdelamar-Villegas 2020</t>
  </si>
  <si>
    <t>10.1007/s12011-019-01760-0</t>
  </si>
  <si>
    <t>[Fetal and perinatal exposure to mercury and selenium: baseline evaluation of a cohort of children in Friuli Venezia Giulia, Italy]</t>
  </si>
  <si>
    <t>Valent</t>
  </si>
  <si>
    <t>Valent 2011</t>
  </si>
  <si>
    <t>Associations of prenatal mercury exposure from maternal fish consumption and polyunsaturated fatty acids with child neurodevelopment: a prospective cohort study in Italy</t>
  </si>
  <si>
    <t>Valent 2013</t>
  </si>
  <si>
    <t>10.2188/jea.je20120168</t>
  </si>
  <si>
    <t>Neurodevelopmental effects of low-level prenatal mercury exposure from maternal fish consumption in a Mediterranean cohort: study rationale and design</t>
  </si>
  <si>
    <t>10.2188/jea.je20120030</t>
  </si>
  <si>
    <t>The Joint Effect of Prenatal Exposure to Metal Mixtures on Neurodevelopmental Outcomes at 20-40 Months of Age: Evidence from Rural Bangladesh</t>
  </si>
  <si>
    <t>Valeri</t>
  </si>
  <si>
    <t>Valeri 2017</t>
  </si>
  <si>
    <t>10.1289/ehp614</t>
  </si>
  <si>
    <t>ERF update, cognitive score, Pb, mixture</t>
  </si>
  <si>
    <t>Meta-analysis using effect size distributions of only statistically significant studies</t>
  </si>
  <si>
    <t>Van Assen</t>
  </si>
  <si>
    <t>Van Assen 2015</t>
  </si>
  <si>
    <t>10.1037/met0000025</t>
  </si>
  <si>
    <t>Prenatal methyl mercury exposure in relation to neurodevelopment and behavior at 19 years of age in the Seychelles Child Development Study</t>
  </si>
  <si>
    <t>van Wijngaarden</t>
  </si>
  <si>
    <t>van Wijngaarden 2013</t>
  </si>
  <si>
    <t>10.1016/j.ntt.2013.06.003</t>
  </si>
  <si>
    <t>Methyl mercury exposure and neurodevelopmental outcomes in the Seychelles Child Development Study Main cohort at age 22 and 24years</t>
  </si>
  <si>
    <t>van Wijngaarden 2017</t>
  </si>
  <si>
    <t>10.1016/j.ntt.2016.10.011</t>
  </si>
  <si>
    <t>Burden of Mild Mental Retardation attributed to prenatal methylmercury exposure in Amazon: local and regional estimates</t>
  </si>
  <si>
    <t>Vasconcellos</t>
  </si>
  <si>
    <t>Vasconcellos 2018</t>
  </si>
  <si>
    <t>10.1590/1413-812320182311.15812016</t>
  </si>
  <si>
    <t>Impact of Methylmercury and Other Heavy Metals Exposure on Neurocognitive Function in Children Aged 7 Years: Study Protocol of the Follow-up</t>
  </si>
  <si>
    <t>Vecchi Brumatti</t>
  </si>
  <si>
    <t>Vecchi Brumatti 2021</t>
  </si>
  <si>
    <t>10.2188/jea.JE20190284</t>
  </si>
  <si>
    <t>Prenatal methylmercury exposure and language delay at three years of age in the Norwegian Mother and Child Cohort Study</t>
  </si>
  <si>
    <t>Vejrup</t>
  </si>
  <si>
    <t>Vejrup 2016</t>
  </si>
  <si>
    <t>10.1016/j.envint.2016.03.029</t>
  </si>
  <si>
    <t>Prenatal mercury exposure, maternal seafood consumption and associations with child language at five years</t>
  </si>
  <si>
    <t>Vejrup 2018</t>
  </si>
  <si>
    <t>10.1016/j.envint.2017.10.008</t>
  </si>
  <si>
    <t>Toxic metal exposures from infant diets: Risk prevention strategies for caregivers and health care professionals</t>
  </si>
  <si>
    <t>Ventre</t>
  </si>
  <si>
    <t>Ventre 2022</t>
  </si>
  <si>
    <t>10.1016/j.cppeds.2022.101276</t>
  </si>
  <si>
    <t>Network Biology Approaches to Identify the Drug Lead Molecule for Neurodevelopmental Disorders in Human</t>
  </si>
  <si>
    <t>Verma</t>
  </si>
  <si>
    <t>Verma 2020</t>
  </si>
  <si>
    <t>10.2174/1875036202013010015</t>
  </si>
  <si>
    <t>Longitudinal in vivo maturational changes of metabolites in the prefrontal cortex of rats exposed to polyinosinic-polycytidylic acid in utero</t>
  </si>
  <si>
    <t>Vernon</t>
  </si>
  <si>
    <t>Vernon 2015</t>
  </si>
  <si>
    <t>10.1016/j.euroneuro.2015.09.022</t>
  </si>
  <si>
    <t>Assessing the relation of chemical and non-chemical stressors with risk-taking related behavior and adaptive individual attributes among adolescents living near the New Bedford Harbor Superfund site</t>
  </si>
  <si>
    <t>Vieira</t>
  </si>
  <si>
    <t>Vieira 2021</t>
  </si>
  <si>
    <t>10.1016/j.envint.2020.106199</t>
  </si>
  <si>
    <t>The role of some metal ions in the pathogenesis of attention deficit hyperactivity disorder</t>
  </si>
  <si>
    <t>Viktorinová</t>
  </si>
  <si>
    <t>Viktorinová 2007</t>
  </si>
  <si>
    <t xml:space="preserve">wrong outcome, Wrong exposure </t>
  </si>
  <si>
    <t>Applied behavior analytic intervention for autism in early childhood: Meta-analysis, meta-regression and dose-response meta-analysis of multiple outcomes</t>
  </si>
  <si>
    <t>Virués-Ortega</t>
  </si>
  <si>
    <t>Virués-Ortega 2010</t>
  </si>
  <si>
    <t>10.1016/j.cpr.2010.01.008</t>
  </si>
  <si>
    <t>In utero exposure to toxic air pollutants and risk of childhood autism</t>
  </si>
  <si>
    <t>Von Ehrenstein</t>
  </si>
  <si>
    <t>Von Ehrenstein 2014</t>
  </si>
  <si>
    <t>10.1097/EDE.0000000000000150</t>
  </si>
  <si>
    <t>Issues in the design, analysis, and application of rodent developmental neurotoxicology studies</t>
  </si>
  <si>
    <t>Vorhees</t>
  </si>
  <si>
    <t>Vorhees 2021</t>
  </si>
  <si>
    <t>10.1016/j.ntt.2021.107018</t>
  </si>
  <si>
    <t xml:space="preserve">Wrong exposure, wrong population </t>
  </si>
  <si>
    <t>There is no safe threshold for lead exposure: Î‘ literature review</t>
  </si>
  <si>
    <t>Vorvolakos</t>
  </si>
  <si>
    <t>Vorvolakos 2016</t>
  </si>
  <si>
    <t>10.22365/jpsych.2016.273.204</t>
  </si>
  <si>
    <t>The human early-life exposome (HELIX): Project rationale and design</t>
  </si>
  <si>
    <t>Vrijheid</t>
  </si>
  <si>
    <t>Vrijheid 2014</t>
  </si>
  <si>
    <t>10.1289/ehp.1307204</t>
  </si>
  <si>
    <t>Environmental pollutants and child health-A review of recent concerns</t>
  </si>
  <si>
    <t>Vrijheid 2016</t>
  </si>
  <si>
    <t>10.1016/j.ijheh.2016.05.001</t>
  </si>
  <si>
    <t>review, ADHD, ASD</t>
  </si>
  <si>
    <t>In Vitro Effects of Lead on Gene Expression in Neural Stem Cells and Associations between Up-regulated Genes and Cognitive Scores in Children</t>
  </si>
  <si>
    <t>Wagner</t>
  </si>
  <si>
    <t>Wagner 2017</t>
  </si>
  <si>
    <t>10.1289/ehp265</t>
  </si>
  <si>
    <t>Maternal polymorphisms in glutathione-related genes are associated with maternal mercury concentrations and early child neurodevelopment in a population with a fish-rich diet</t>
  </si>
  <si>
    <t>Wahlberg</t>
  </si>
  <si>
    <t>Wahlberg 2018</t>
  </si>
  <si>
    <t>10.1016/j.envint.2018.03.015</t>
  </si>
  <si>
    <t>DNA Methylation Biomarkers of IQ Reduction are Associated with Long-term Lead Exposure in School Aged Children in Southern China</t>
  </si>
  <si>
    <t>Wan</t>
  </si>
  <si>
    <t>Wan 2021</t>
  </si>
  <si>
    <t>10.1021/acs.est.0c01696</t>
  </si>
  <si>
    <t>Adverse health effects of lead exposure on children and exploration to internal lead indicator</t>
  </si>
  <si>
    <t>Wang</t>
  </si>
  <si>
    <t>Wang 2009</t>
  </si>
  <si>
    <t>10.1016/j.scitotenv.2009.08.038</t>
  </si>
  <si>
    <t>Intelligence indicated by grades</t>
  </si>
  <si>
    <t>Developmental Neurotoxicology Research: Principles, Models, Techniques, Strategies, and Mechanisms</t>
  </si>
  <si>
    <t>Wang 2010</t>
  </si>
  <si>
    <t>10.1002/9780470917060</t>
  </si>
  <si>
    <t>Health risk assessment of lead for children in tinfoil manufacturing and e-waste recycling areas of Zhejiang Province, China</t>
  </si>
  <si>
    <t>Wang 2012</t>
  </si>
  <si>
    <t>10.1016/j.scitotenv.2012.04.002</t>
  </si>
  <si>
    <t>Health risk assessment for lead exposure of children in China</t>
  </si>
  <si>
    <t>Wang 2013</t>
  </si>
  <si>
    <t>Postnatal exposure to methyl mercury and neuropsychological development in 7-year-old urban inner-city children exposed to lead in the United States</t>
  </si>
  <si>
    <t>Wang 2014</t>
  </si>
  <si>
    <t>10.1080/09297049.2013.824955</t>
  </si>
  <si>
    <t>Genome-wide gene by lead exposure interaction analysis identifies UNC5D as a candidate gene for neurodevelopment</t>
  </si>
  <si>
    <t>Wang 2017</t>
  </si>
  <si>
    <t>10.1186/s12940-017-0288-3</t>
  </si>
  <si>
    <t>Prenatal and postnatal exposure to organophosphate pesticides and childhood neurodevelopment in Shandong, China</t>
  </si>
  <si>
    <t>10.1016/j.envint.2017.08.010</t>
  </si>
  <si>
    <t>Relation of prenatal low-level mercury exposure with early child neurobehavioral development and exploration of the effects of sex and DHA on it</t>
  </si>
  <si>
    <t>Wang 2019</t>
  </si>
  <si>
    <t>10.1016/j.envint.2019.02.012</t>
  </si>
  <si>
    <t>Biochar amendment mitigates the health risks of dietary methylmercury exposure from rice consumption in mercury-contaminated areas</t>
  </si>
  <si>
    <t>Wang 2020</t>
  </si>
  <si>
    <t>10.1016/j.envpol.2020.115547</t>
  </si>
  <si>
    <t>Total mercury and methylmercury in rice: Exposure and health implications in Bangladesh</t>
  </si>
  <si>
    <t>10.1016/j.envpol.2020.114991</t>
  </si>
  <si>
    <t>Occurrence of total mercury and methylmercury in rice: Exposure and health implications in Nepal</t>
  </si>
  <si>
    <t>Wang 2021</t>
  </si>
  <si>
    <t>10.1016/j.ecoenv.2021.113019</t>
  </si>
  <si>
    <t>Gender differences in trace element exposures with cognitive abilities of school-aged children: a cohort study in Wujiang city, China</t>
  </si>
  <si>
    <t>Wang 2022</t>
  </si>
  <si>
    <t>10.1007/s11356-022-20353-4</t>
  </si>
  <si>
    <t>Effects of cord blood element levels on neurodevelopment of preterm and full-term children: A cohort study</t>
  </si>
  <si>
    <t>10.11836/JEOM22020</t>
  </si>
  <si>
    <t>Prenatal fine particulate matter exposure associated with placental small extracellular vesicle derived microRNA and child neurodevelopmental delays</t>
  </si>
  <si>
    <t>10.1016/j.scitotenv.2022.156747</t>
  </si>
  <si>
    <t>Oral and inhalation bioaccessibility of mercury in contaminated soils and potential health risk to the kidneys and neurodevelopment of children in Taiwan</t>
  </si>
  <si>
    <t>Wang 2023</t>
  </si>
  <si>
    <t>10.1007/s10653-023-01633-5</t>
  </si>
  <si>
    <t>A cross-sectional study of water arsenic exposure and intellectual function in adolescence in Araihazar, Bangladesh</t>
  </si>
  <si>
    <t>Wasserman</t>
  </si>
  <si>
    <t>Wasserman 2018</t>
  </si>
  <si>
    <t>10.1016/j.envint.2018.05.037</t>
  </si>
  <si>
    <t>Prenatal exposure to dental amalgam: evidence from the Seychelles Child Development Study main cohort</t>
  </si>
  <si>
    <t>Watson</t>
  </si>
  <si>
    <t>Watson 2011</t>
  </si>
  <si>
    <t>10.14219/jada.archive.2011.0114</t>
  </si>
  <si>
    <t>Prenatal exposure to dental amalgam in the Seychelles Child Development Nutrition Study: associations with neurodevelopmental outcomes at 9 and 30 months</t>
  </si>
  <si>
    <t>Watson 2012</t>
  </si>
  <si>
    <t>10.1016/j.neuro.2012.10.001</t>
  </si>
  <si>
    <t>Neurodevelopmental outcomes at 5 years in children exposed prenatally to maternal dental amalgam: the Seychelles Child Development Nutrition Study</t>
  </si>
  <si>
    <t>Watson 2013</t>
  </si>
  <si>
    <t>10.1016/j.ntt.2013.07.003</t>
  </si>
  <si>
    <t>Neurodevelopmental and neurological effects of chemicals associated with unconventional oil and natural gas operations and their potential effects on infants and children</t>
  </si>
  <si>
    <t>Webb</t>
  </si>
  <si>
    <t>Webb 2018</t>
  </si>
  <si>
    <t>10.1515/reveh-2017-0008</t>
  </si>
  <si>
    <t>Endocrine Disruptors as a Factor in Mental Retardation</t>
  </si>
  <si>
    <t>Weiss</t>
  </si>
  <si>
    <t>Weiss 2005</t>
  </si>
  <si>
    <t>10.1016/S0074-7750(05)30006-1</t>
  </si>
  <si>
    <t>Psychological Indices of Toxicity</t>
  </si>
  <si>
    <t>Weiss 2014</t>
  </si>
  <si>
    <t>10.1016/B978-0-12-386454-3.00051-8</t>
  </si>
  <si>
    <t>The FDA's new advice on fish: it's complicated</t>
  </si>
  <si>
    <t>Wenstrom</t>
  </si>
  <si>
    <t>Wenstrom 2014</t>
  </si>
  <si>
    <t>10.1016/j.ajog.2014.07.048</t>
  </si>
  <si>
    <t>Exposure to total and methylmercury among pregnant women in Suriname: sources and public health implications</t>
  </si>
  <si>
    <t>Wickliffe</t>
  </si>
  <si>
    <t>Wickliffe 2021</t>
  </si>
  <si>
    <t>10.1038/s41370-020-0233-3</t>
  </si>
  <si>
    <t>Childhood Maltreatment, Blood Lead Levels, and Crime and Violence: A Prospective Examination</t>
  </si>
  <si>
    <t>Widom</t>
  </si>
  <si>
    <t>Widom 2022</t>
  </si>
  <si>
    <t>10.1016/j.bpsgos.2022.04.003</t>
  </si>
  <si>
    <t>Consequences of prenatal toxin exposure for mental health in children and adolescents: a systematic review</t>
  </si>
  <si>
    <t>Williams</t>
  </si>
  <si>
    <t>Williams 2007</t>
  </si>
  <si>
    <t>10.1007/s00787-006-0596-6</t>
  </si>
  <si>
    <t>Lead (Pb) is Now a Non-Threshold Substance: How Does this Affect Soil Quality Guidelines?</t>
  </si>
  <si>
    <t>Wilson</t>
  </si>
  <si>
    <t>Wilson 2013</t>
  </si>
  <si>
    <t>10.1080/10807039.2013.771534</t>
  </si>
  <si>
    <t>Developmental aspects of environmental neurotoxicology: lessons from lead and polychlorinated biphenyls</t>
  </si>
  <si>
    <t>Winneke</t>
  </si>
  <si>
    <t>Winneke 2011</t>
  </si>
  <si>
    <t>10.1016/j.jns.2011.05.020</t>
  </si>
  <si>
    <t>Modification of neurobehavioral effects of mercury by genetic polymorphisms of metallothionein in children</t>
  </si>
  <si>
    <t>Woods</t>
  </si>
  <si>
    <t>Woods 2013</t>
  </si>
  <si>
    <t>10.1016/j.ntt.2013.06.004</t>
  </si>
  <si>
    <t>Blood lead levels in early childhood predict adulthood psychopathy</t>
  </si>
  <si>
    <t>Wright</t>
  </si>
  <si>
    <t>Wright 2009</t>
  </si>
  <si>
    <t>10.1177/1541204009333827</t>
  </si>
  <si>
    <t>Developmental lead exposure and adult criminal behavior: A 30-year prospective birth cohort study</t>
  </si>
  <si>
    <t>Wright 2021</t>
  </si>
  <si>
    <t>10.1016/j.ntt.2021.106960</t>
  </si>
  <si>
    <t>Effect of low-level prenatal mercury exposure on neonate neurobehavioral development in China</t>
  </si>
  <si>
    <t>Wu</t>
  </si>
  <si>
    <t>Wu 2014</t>
  </si>
  <si>
    <t>10.1016/j.pediatrneurol.2014.03.018</t>
  </si>
  <si>
    <t>Exposure to Low Levels of Lead in Utero and Umbilical Cord Blood DNA Methylation in Project Viva: An Epigenome-Wide Association Study</t>
  </si>
  <si>
    <t>Wu 2017</t>
  </si>
  <si>
    <t>10.1289/ehp1246</t>
  </si>
  <si>
    <t>The Relationship of Children's Intelligence Quotient and Blood Lead and Zinc Levels: a Meta-analysis and System Review</t>
  </si>
  <si>
    <t>Wu 2018</t>
  </si>
  <si>
    <t>10.1007/s12011-017-1093-0</t>
  </si>
  <si>
    <t>Meta-anlysis of case-control studies with a very high threshold for expo (100+ µg/dL blood Pb as case and &lt;100 µg/dL blood Pb as control). Three "prevalence" studies were published after 2005 (Jeong 2015, Meeyoung 2009 and Solon 2008).
&gt; Solon (2008) Associations between cognitive function, blood lead concentration, and nutrition among children in the central Philippines. J Pediatr 152:237–243 / Jeong (2015) Evidence that cognitive deficit in children is associated not only with iron deficiency, but also with blood lead concentration: a preliminary study. J Trace Elem Med Biol 29:336–341 / Min (2009) Cognitive development and low-level lead exposure in poly-drug exposed children. Neurotoxicol Teratol 31:225–231 / Jeong and Min included in the present litterature search but not Solon.</t>
  </si>
  <si>
    <t>Intermingled modulatory and neurotoxic effects of thimerosal and mercuric ions on electrophysiological responses to GABA and NMDA in hippocampal neurons</t>
  </si>
  <si>
    <t>Wyrembek</t>
  </si>
  <si>
    <t>Wyrembek 2010</t>
  </si>
  <si>
    <t>A Review on the Mechanism Between Different Factors and the Occurrence of Autism and ADHD</t>
  </si>
  <si>
    <t>Xi</t>
  </si>
  <si>
    <t>Xi 2021</t>
  </si>
  <si>
    <t>10.2147/prbm.S304450</t>
  </si>
  <si>
    <t>Association between type 1 diabetes and neurodevelopmental disorders in children and adolescents: A systematic review and meta-analysis</t>
  </si>
  <si>
    <t>Xie</t>
  </si>
  <si>
    <t>Xie 2022</t>
  </si>
  <si>
    <t>10.3389/fpsyt.2022.982696</t>
  </si>
  <si>
    <t>Associations of blood mercury and fatty acid concentrations with blood mitochondrial DNA copy number in the Seychelles Child Development Nutrition Study</t>
  </si>
  <si>
    <t>Xu</t>
  </si>
  <si>
    <t>Xu 2019</t>
  </si>
  <si>
    <t>10.1016/j.envint.2019.01.019</t>
  </si>
  <si>
    <t>Current trends of blood lead levels, distribution patterns and exposure variations among household members in Kabwe, Zambia</t>
  </si>
  <si>
    <t>Yabe</t>
  </si>
  <si>
    <t>Yabe 2020</t>
  </si>
  <si>
    <t>10.1016/j.chemosphere.2019.125412</t>
  </si>
  <si>
    <t>Lower strontium in two different body matrices in neurodevelopmental disorders: A preliminary report</t>
  </si>
  <si>
    <t>YalÃ§c±n</t>
  </si>
  <si>
    <t>YalÃ§c±n 2020</t>
  </si>
  <si>
    <t>10.1016/j.jtemb.2020.126553</t>
  </si>
  <si>
    <t>Matrix metalloproteinase-3 is a possible mediator of neurodevelopmental impairment due to polyI:C-induced innate immune activation of astrocytes</t>
  </si>
  <si>
    <t>Yamada</t>
  </si>
  <si>
    <t>Yamada 2014</t>
  </si>
  <si>
    <t>10.1016/j.bbi.2014.02.014</t>
  </si>
  <si>
    <t>Social cost of mining-related lead (Pb) pollution in Kabwe, Zambia, and potential remediation measures</t>
  </si>
  <si>
    <t>Yamada 2023</t>
  </si>
  <si>
    <t>10.1016/j.scitotenv.2022.161281</t>
  </si>
  <si>
    <t>Association of prenatal exposure to dioxin-like compounds, polychlorinated biphenyl, and methylmercury with event-related brain potentials in school-aged children: The Hokkaido study</t>
  </si>
  <si>
    <t>Yamazaki</t>
  </si>
  <si>
    <t>Yamazaki 2022</t>
  </si>
  <si>
    <t>10.1016/j.neuro.2022.04.011</t>
  </si>
  <si>
    <t>Estimating the national burden of mild intellectual disability in children exposed to dietary lead in China</t>
  </si>
  <si>
    <t>Yan</t>
  </si>
  <si>
    <t>Yan 2020</t>
  </si>
  <si>
    <t>10.1016/j.envint.2020.105553</t>
  </si>
  <si>
    <t>Combined association of early exposure to long-chain n-3 polyunsaturated fatty acids, mercury and selenium with cognitive performance in 1-year-old infants</t>
  </si>
  <si>
    <t>Yang</t>
  </si>
  <si>
    <t>Yang 2022</t>
  </si>
  <si>
    <t>10.1016/j.envres.2021.112186</t>
  </si>
  <si>
    <t>Metallomics analysis for assessment of toxic metal burdens in infants/children and their mothers: Early assessment and intervention are essential</t>
  </si>
  <si>
    <t>Yasuda</t>
  </si>
  <si>
    <t>Yasuda 2021</t>
  </si>
  <si>
    <t>10.3390/biom11010006</t>
  </si>
  <si>
    <t>Metallomics analysis for early assessment and individualized intervention of neurodevelopmental disorders</t>
  </si>
  <si>
    <t>Yasuda 2022</t>
  </si>
  <si>
    <t>10.1093/mtomcs/mfac067</t>
  </si>
  <si>
    <t>Prenatal and neonatal peripheral blood mercury levels and autism spectrum disorders</t>
  </si>
  <si>
    <t>Yau</t>
  </si>
  <si>
    <t>Yau 2014</t>
  </si>
  <si>
    <t>10.1016/j.envres.2014.04.034</t>
  </si>
  <si>
    <t>The association of environmental toxicants and autism spectrum disorders in children</t>
  </si>
  <si>
    <t>Ye</t>
  </si>
  <si>
    <t>Ye 2017</t>
  </si>
  <si>
    <t>10.1016/j.envpol.2017.04.039</t>
  </si>
  <si>
    <t>Using Latent Profile Analysis to Identify Associations between Gestational Chemical Mixtures and Child Neurodevelopment</t>
  </si>
  <si>
    <t>Yonkman</t>
  </si>
  <si>
    <t>Yonkman 2023</t>
  </si>
  <si>
    <t>10.1097/EDE.0000000000001554</t>
  </si>
  <si>
    <t>Porphyrinuria in Korean children with autism: correlation with oxidative stress</t>
  </si>
  <si>
    <t>Youn</t>
  </si>
  <si>
    <t>Youn 2010</t>
  </si>
  <si>
    <t>10.1080/15287391003614000</t>
  </si>
  <si>
    <t>Thimerosal exposure in infants and neurodevelopmental disorders: an assessment of computerized medical records in the Vaccine Safety Datalink</t>
  </si>
  <si>
    <t>Young</t>
  </si>
  <si>
    <t>Young 2008</t>
  </si>
  <si>
    <t>10.1016/j.jns.2008.04.002</t>
  </si>
  <si>
    <t>Association between prenatal dietary methyl mercury exposure and developmental outcomes on acquisition of articulatory-phonologic skills in children in the Republic of Seychelles</t>
  </si>
  <si>
    <t>Young 2020</t>
  </si>
  <si>
    <t>10.1016/j.neuro.2020.09.028</t>
  </si>
  <si>
    <t>Increased risk of attention-deficit/hyperactivity disorder associated with exposure to organophosphate pesticide in Taiwanese children</t>
  </si>
  <si>
    <t>Yu</t>
  </si>
  <si>
    <t>Yu 2016</t>
  </si>
  <si>
    <t>10.1111/andr.12183</t>
  </si>
  <si>
    <t>SLC6A1 gene involvement in susceptibility to attention-deficit/hyperactivity disorder: A case-control study and gene-environment interaction</t>
  </si>
  <si>
    <t>Yuan</t>
  </si>
  <si>
    <t>Yuan 2017</t>
  </si>
  <si>
    <t>10.1016/j.pnpbp.2017.04.015</t>
  </si>
  <si>
    <t>Assessment of lead levels in maternal blood samples by graphite furnace atomic absorption spectrometry and influence of maternal blood lead on newborns</t>
  </si>
  <si>
    <t>Yüksel</t>
  </si>
  <si>
    <t>Yüksel 2016</t>
  </si>
  <si>
    <t>A systematic review of US state environmental legislation and regulation with regards to the prevention of neurodevelopmental disabilities and asthma</t>
  </si>
  <si>
    <t>Zajac</t>
  </si>
  <si>
    <t>Zajac 2009</t>
  </si>
  <si>
    <t>10.1186/1476-069x-8-9</t>
  </si>
  <si>
    <t>A dental look at the autistic patient through orofacial pain</t>
  </si>
  <si>
    <t>Zeidán-Chuliá</t>
  </si>
  <si>
    <t>Zeidán-Chuliá 2011</t>
  </si>
  <si>
    <t>10.3109/00016357.2010.549505</t>
  </si>
  <si>
    <t>Fish consumption during child bearing age: a quantitative risk-benefit analysis on neurodevelopment</t>
  </si>
  <si>
    <t>Zeilmaker</t>
  </si>
  <si>
    <t>Zeilmaker 2013</t>
  </si>
  <si>
    <t>10.1016/j.fct.2011.10.068</t>
  </si>
  <si>
    <t>Expo assessed from food frequency questionnaire</t>
  </si>
  <si>
    <t>Disturbance of trace element and gut microbiota profiles as indicators of autism spectrum disorder: A pilot study of Chinese children</t>
  </si>
  <si>
    <t>Zhai</t>
  </si>
  <si>
    <t>Zhai 2019</t>
  </si>
  <si>
    <t>10.1016/j.envres.2019.01.060</t>
  </si>
  <si>
    <t>Simulated impacts of fish consumption on the IQ points of infants</t>
  </si>
  <si>
    <t>Zhang</t>
  </si>
  <si>
    <t>Zhang 2010</t>
  </si>
  <si>
    <t>10.1109/ICBBE.2010.5516693</t>
  </si>
  <si>
    <t>Decreased axonal density and altered expression profiles of axonal guidance genes underlying lead (Pb) neurodevelopmental toxicity at early embryonic stages in the zebrafish</t>
  </si>
  <si>
    <t>Zhang 2011</t>
  </si>
  <si>
    <t>10.1016/j.ntt.2011.07.010</t>
  </si>
  <si>
    <t>Presynaptic mechanisms of lead neurotoxicity: Effects on vesicular release, vesicle clustering and mitochondria number</t>
  </si>
  <si>
    <t>Zhang 2015</t>
  </si>
  <si>
    <t>10.1371/journal.pone.0127461</t>
  </si>
  <si>
    <t>Risk assessment of total mercury and methylmercury in aquatic products from offshore farms in China</t>
  </si>
  <si>
    <t>Zhang 2018</t>
  </si>
  <si>
    <t>10.1016/j.jhazmat.2018.04.039</t>
  </si>
  <si>
    <t>Trace elements in children with autism spectrum disorder: A meta-analysis based on case-control studies</t>
  </si>
  <si>
    <t>Zhang 2021</t>
  </si>
  <si>
    <t>10.1016/j.jtemb.2021.126782</t>
  </si>
  <si>
    <t>Embryo morphologic quality in relation to the metabolic and cognitive development of singletons conceived by in vitro fertilization and intracytoplasmic sperm injection: a matched cohort study</t>
  </si>
  <si>
    <t>Zhang 2022</t>
  </si>
  <si>
    <t>10.1016/j.ajog.2022.05.019</t>
  </si>
  <si>
    <t>Global magnitude and temporal trends of idiopathic developmental intellectual disability attributable to lead exposure from 1990 to 2019: Results from Global Burden of Disease Study</t>
  </si>
  <si>
    <t>10.1016/j.scitotenv.2022.155366</t>
  </si>
  <si>
    <t>Zika Virus Infection Leads to Variable Defects in Multiple Neurological Functions and Behaviors in Mice and Children</t>
  </si>
  <si>
    <t>Zhao</t>
  </si>
  <si>
    <t>Zhao 2020</t>
  </si>
  <si>
    <t>10.1002/advs.201901996</t>
  </si>
  <si>
    <t>Trio exome sequencing identified a novel de novo WASF1 missense variant leading to recurrent site substitution in a Chinese patient with developmental delay, microcephaly, and early-onset seizures: A mutational hotspot p.Trp161 and literature review</t>
  </si>
  <si>
    <t>Zhao 2021</t>
  </si>
  <si>
    <t>10.1016/j.cca.2021.08.030</t>
  </si>
  <si>
    <t>Gestational exposure to particulate matter 2.5 (PM2.5) leads to spatial memory dysfunction and neurodevelopmental impairment in hippocampus of mice offspring</t>
  </si>
  <si>
    <t>Zheng</t>
  </si>
  <si>
    <t>Zheng 2019</t>
  </si>
  <si>
    <t>10.3389/fnins.2018.01000</t>
  </si>
  <si>
    <t>8-year review of laboratory performance on blood lead level external quality assessment surveys 2006â€“2013 in China: continual improvement</t>
  </si>
  <si>
    <t>Zhong</t>
  </si>
  <si>
    <t>Zhong 2015</t>
  </si>
  <si>
    <t>10.1007/s00769-014-1097-9</t>
  </si>
  <si>
    <t>Effects of lead, mercury, aluminium and manganese co-exposure on the serum BDNF concentration of pre-school children in Taizhou, China</t>
  </si>
  <si>
    <t>Zhou</t>
  </si>
  <si>
    <t>Zhou 2019</t>
  </si>
  <si>
    <t>10.1016/j.chemosphere.2018.11.028</t>
  </si>
  <si>
    <t>Sex-Specific Differences in Cognitive Abilities Associated with Childhood Cadmium and Manganese Exposures in School-Age Children: a Prospective Cohort Study</t>
  </si>
  <si>
    <t>Zhou 2020</t>
  </si>
  <si>
    <t>10.1007/s12011-019-01703-9</t>
  </si>
  <si>
    <t>Urine as exposure matrix; prenatal exposure</t>
  </si>
  <si>
    <t>Effects of low-level mercury exposure on brain-derived neurotrophic factor in preschool children</t>
  </si>
  <si>
    <t>Zhou 2021</t>
  </si>
  <si>
    <t>10.1016/j.ecoenv.2020.111642</t>
  </si>
  <si>
    <t>Zika virus leads to olfactory disorders in mice by targeting olfactory ensheathing cells</t>
  </si>
  <si>
    <t>Zhou 2023</t>
  </si>
  <si>
    <t>10.1016/j.ebiom.2023.104457</t>
  </si>
  <si>
    <t>The combined effect between BDNF genetic polymorphisms and exposure to metals on the risk of Chinese dyslexia</t>
  </si>
  <si>
    <t>Zhu</t>
  </si>
  <si>
    <t>Zhu 2022</t>
  </si>
  <si>
    <t>10.1016/j.envpol.2022.119640</t>
  </si>
  <si>
    <t>Exposure to coal ash and depression in children aged 6â€“14 years old</t>
  </si>
  <si>
    <t>Zierold</t>
  </si>
  <si>
    <t>Zierold 2022</t>
  </si>
  <si>
    <t>10.1016/j.envres.2022.114005</t>
  </si>
  <si>
    <t>Caribbean Consortium for Research in Environmental and Occupational Health (CCREOH) Cohort Study: influences of complex environmental exposures on maternal and child health in Suriname</t>
  </si>
  <si>
    <t>Zijlmans</t>
  </si>
  <si>
    <t>Zijlmans 2020</t>
  </si>
  <si>
    <t>10.1136/bmjopen-2019-034702</t>
  </si>
  <si>
    <t>GENERAL</t>
  </si>
  <si>
    <t>OUTCOME</t>
  </si>
  <si>
    <t>EXPOSURE</t>
  </si>
  <si>
    <t>ASSOCIATION BETWEEN EXPOSURE AND OUTCOME</t>
  </si>
  <si>
    <t>INCLUSION IN META-ANALYSIS ?</t>
  </si>
  <si>
    <t xml:space="preserve">First author and year </t>
  </si>
  <si>
    <r>
      <rPr>
        <b val="1"/>
        <sz val="11"/>
        <color indexed="8"/>
        <rFont val="Calibri"/>
      </rPr>
      <t xml:space="preserve">Study population </t>
    </r>
    <r>
      <rPr>
        <sz val="11"/>
        <color indexed="8"/>
        <rFont val="Calibri"/>
      </rPr>
      <t>(name of the cohort if relevant or general description)</t>
    </r>
  </si>
  <si>
    <t>Geography</t>
  </si>
  <si>
    <r>
      <rPr>
        <b val="1"/>
        <sz val="11"/>
        <color indexed="8"/>
        <rFont val="Calibri"/>
      </rPr>
      <t xml:space="preserve">Location </t>
    </r>
    <r>
      <rPr>
        <sz val="11"/>
        <color indexed="8"/>
        <rFont val="Calibri"/>
      </rPr>
      <t>(Europe, Africa,Asia, North Amercica, South America,Australia/Oceania)</t>
    </r>
  </si>
  <si>
    <t>Hotspot of pollution (Y/N)</t>
  </si>
  <si>
    <r>
      <rPr>
        <b val="1"/>
        <sz val="11"/>
        <color indexed="8"/>
        <rFont val="Calibri"/>
      </rPr>
      <t xml:space="preserve">Study design </t>
    </r>
    <r>
      <rPr>
        <sz val="11"/>
        <color indexed="8"/>
        <rFont val="Calibri"/>
      </rPr>
      <t>(e.g., prospective or retrospective cohort, nested case-control study, cross sectional, population-based case-control study, intervention, etc.)</t>
    </r>
  </si>
  <si>
    <t>Dates of study or sampling</t>
  </si>
  <si>
    <t>Demographic</t>
  </si>
  <si>
    <t>Study population (N)</t>
  </si>
  <si>
    <r>
      <rPr>
        <b val="1"/>
        <sz val="11"/>
        <color indexed="8"/>
        <rFont val="Calibri"/>
      </rPr>
      <t>Health outcome</t>
    </r>
  </si>
  <si>
    <t>IQ indicator</t>
  </si>
  <si>
    <t>Age at IQ measurement (years unless otherwise stated)</t>
  </si>
  <si>
    <t>IQ value</t>
  </si>
  <si>
    <t>Matrix of the Pb data</t>
  </si>
  <si>
    <t>Expo definition</t>
  </si>
  <si>
    <t>Age at or time of exposure assessment (years unless otherwise stated)</t>
  </si>
  <si>
    <t>Exposure indicator</t>
  </si>
  <si>
    <t>Exposure value</t>
  </si>
  <si>
    <t>Exposure units</t>
  </si>
  <si>
    <t>Scale of exposure  variable in model</t>
  </si>
  <si>
    <t>Results expressed as…</t>
  </si>
  <si>
    <t>Increment</t>
  </si>
  <si>
    <t>Central estimate</t>
  </si>
  <si>
    <t>Lower confidence interval</t>
  </si>
  <si>
    <t>Upper confidence interval</t>
  </si>
  <si>
    <t>Defition of the confidence interval</t>
  </si>
  <si>
    <t>p value</t>
  </si>
  <si>
    <t>Standard error</t>
  </si>
  <si>
    <t>Lower confidence interval per one unit increse (recalculated from SE)</t>
  </si>
  <si>
    <t>Upper confidence interval per one unit increase (recalculated from SE)</t>
  </si>
  <si>
    <t>Adjustment set</t>
  </si>
  <si>
    <t>Excluded after review (reason)</t>
  </si>
  <si>
    <t>Primary school children</t>
  </si>
  <si>
    <t>Shebin El Kom district, Egypt</t>
  </si>
  <si>
    <t>Africa</t>
  </si>
  <si>
    <t>cross-sectional</t>
  </si>
  <si>
    <t>Not reported</t>
  </si>
  <si>
    <t>Children</t>
  </si>
  <si>
    <t>IQ</t>
  </si>
  <si>
    <t>FSIQ from Arabic WISC</t>
  </si>
  <si>
    <t>&lt;11</t>
  </si>
  <si>
    <t>mean</t>
  </si>
  <si>
    <t>Blood</t>
  </si>
  <si>
    <t>Concurrent</t>
  </si>
  <si>
    <t>µg/dL</t>
  </si>
  <si>
    <t xml:space="preserve">Differences between exposure categories </t>
  </si>
  <si>
    <t>PHIME study</t>
  </si>
  <si>
    <t>Province of Bresia, Italy</t>
  </si>
  <si>
    <t>Europe</t>
  </si>
  <si>
    <t>cross sectional study</t>
  </si>
  <si>
    <t>2007-2010 and 2010-2014</t>
  </si>
  <si>
    <t>Adolescents</t>
  </si>
  <si>
    <t xml:space="preserve">IQ </t>
  </si>
  <si>
    <t>FSIQ</t>
  </si>
  <si>
    <t>10 to 14</t>
  </si>
  <si>
    <t>median</t>
  </si>
  <si>
    <t>Ln</t>
  </si>
  <si>
    <t>beta</t>
  </si>
  <si>
    <t>1  (ln)</t>
  </si>
  <si>
    <t xml:space="preserve">Sex, age, SES, hemoglobin, HOME score and HOME score squared. </t>
  </si>
  <si>
    <t>Budtz-Jørgensen 2013</t>
  </si>
  <si>
    <t>Seven international cohorts of children</t>
  </si>
  <si>
    <t>Boston, Cincinnati, Cleveland, Rochester, Mexico City, Mexico, Port Pirie, Australia, and Yugoslavia</t>
  </si>
  <si>
    <t>World</t>
  </si>
  <si>
    <t>Propsective cohorts, pooled analysis</t>
  </si>
  <si>
    <t>FSIQ from WISC</t>
  </si>
  <si>
    <t>From 74,2 in Yugoslavia to 116,0 in Boston</t>
  </si>
  <si>
    <t>From 4,0 in Rochester to 15,9 in Yugoslavia</t>
  </si>
  <si>
    <t>Ln+1</t>
  </si>
  <si>
    <t>1 ln+1</t>
  </si>
  <si>
    <t>Not a real CI</t>
  </si>
  <si>
    <t>Sex, birth order, birth weight, maternal education, maternal age, marital status, prenatal alcohol exposure, prenatal tobacco exposure and HOME score</t>
  </si>
  <si>
    <t>linear</t>
  </si>
  <si>
    <t>Peak</t>
  </si>
  <si>
    <t>From 9,0 in Rochester to 27,0 on Port Pirie</t>
  </si>
  <si>
    <t>Lifetime</t>
  </si>
  <si>
    <t>From 5,5 in Rochester to 18,6 on Port Pirie</t>
  </si>
  <si>
    <t>Early childhood</t>
  </si>
  <si>
    <t>From 5,8 in Rochester to 20,5 on Port Pirie</t>
  </si>
  <si>
    <t>Non linear function</t>
  </si>
  <si>
    <t>Figure 3</t>
  </si>
  <si>
    <t>Concurrent &lt;=7.5 µg/dL</t>
  </si>
  <si>
    <t>beta (piecewise linear, digitalized)</t>
  </si>
  <si>
    <t>Concurrent &gt; 7.5 µg/dL</t>
  </si>
  <si>
    <t>Treatment of Lead-exposed Children trial (TLC) (placebo-controlled, randomized clinical trial in Philadelphia, PA, Newark, NJ, Cincinnati, OH, and Baltimore, MD)</t>
  </si>
  <si>
    <t>USA</t>
  </si>
  <si>
    <t>North America</t>
  </si>
  <si>
    <t>N</t>
  </si>
  <si>
    <t xml:space="preserve">Inclusion at 1 to 3 years (about 2 years of age) + follow-ups at about 5 and 7 years </t>
  </si>
  <si>
    <t xml:space="preserve">Sep 1994 - June 2003 </t>
  </si>
  <si>
    <t>Cognition (IQ)</t>
  </si>
  <si>
    <t xml:space="preserve">Concurrent </t>
  </si>
  <si>
    <t>Baseline meHg, treatment group, exact age, caregiver's IQ, center, single parenting, lannguage, race, gender, unemployment, parent's education</t>
  </si>
  <si>
    <t>Linear BLL scale (harmonisation of estimate to log(BLL) statistically not justifiable)</t>
  </si>
  <si>
    <t>FSIQ from WISC-III</t>
  </si>
  <si>
    <t>727 (approx)</t>
  </si>
  <si>
    <t xml:space="preserve">Early </t>
  </si>
  <si>
    <t>adjusted for clinic center, race, sex, language, parent’s education, parent’s employment, single parent, caregiver’s IQ, and exact age at blood lead concentration measurement</t>
  </si>
  <si>
    <t>622 (approx)</t>
  </si>
  <si>
    <t>Early</t>
  </si>
  <si>
    <t>Between 2 and 7</t>
  </si>
  <si>
    <t>Lifetime average</t>
  </si>
  <si>
    <t>2-5 yo</t>
  </si>
  <si>
    <t xml:space="preserve">Treatment of Lead-exposed Children trial (TLC), randomized clinical trial </t>
  </si>
  <si>
    <t>2-7 yo</t>
  </si>
  <si>
    <t>Children of women screened for tobacco, alcohol, cocaine, and other drug during pregnancy</t>
  </si>
  <si>
    <t>Detroit, USA</t>
  </si>
  <si>
    <t>Born 1989-1991</t>
  </si>
  <si>
    <t>FSIQ from WPPSI</t>
  </si>
  <si>
    <t>&lt;0,001</t>
  </si>
  <si>
    <t>Prenatal drug use, caretaker education, socioeco status, HOME score, SCL global severity index, number of children in the child's home, maternal IQ, gender, prenatal cig per day and prenatal marijuana use</t>
  </si>
  <si>
    <t>Linear BLL scale; uncertainty not reported</t>
  </si>
  <si>
    <t>Pooled analysis, reanalysis of Lanphear et al. 2005 data</t>
  </si>
  <si>
    <t>USA (Boston, Cleveland, Cincinnati, Rochester), Mexico, Australia (Port Pirie) and Yugoslavia</t>
  </si>
  <si>
    <t>North America and Europe</t>
  </si>
  <si>
    <t>Pooled analysis of 7 cohorts</t>
  </si>
  <si>
    <t>1992 - 2003</t>
  </si>
  <si>
    <t>FSIQ from WISC (multiple versions)</t>
  </si>
  <si>
    <t>From 5 to 12 depending on the cohort</t>
  </si>
  <si>
    <t>&lt;0,0001</t>
  </si>
  <si>
    <t>site, HOME score, birth weight, maternal IQ, maternal education, maternal alcohol use, maternal tobacco use and birth order</t>
  </si>
  <si>
    <t>Non-concurrent measurements (IQ &amp; BLL)</t>
  </si>
  <si>
    <t>Early, average</t>
  </si>
  <si>
    <t>6 to 24 mo</t>
  </si>
  <si>
    <t>24 mo</t>
  </si>
  <si>
    <t>Ln(BPb +1)</t>
  </si>
  <si>
    <t>Cincinnati Childhood Allergy and Air Pollution Study (CCAAPS)</t>
  </si>
  <si>
    <t>Greater Cincinnati, Ohio metropolitan region, US</t>
  </si>
  <si>
    <t>Prospective  cohort</t>
  </si>
  <si>
    <t>241 (hypothesis)</t>
  </si>
  <si>
    <t>Toenail</t>
  </si>
  <si>
    <t>µg/g</t>
  </si>
  <si>
    <t>Log10</t>
  </si>
  <si>
    <t>Recalculation of SE does not work - central estimate is not in the middle of CI</t>
  </si>
  <si>
    <t>Caregiver IQ, community deprivation index and BMI</t>
  </si>
  <si>
    <t>Exposure matrix not blood</t>
  </si>
  <si>
    <t>224 (hypothesis)</t>
  </si>
  <si>
    <t>1 log10 (i.e. increment of 10 in Pb levels)</t>
  </si>
  <si>
    <t>Pregnant women and offspring</t>
  </si>
  <si>
    <t>Canada (10 different study sites)</t>
  </si>
  <si>
    <t>Prospective cohort study</t>
  </si>
  <si>
    <t>2008-2011</t>
  </si>
  <si>
    <t>FSIQ from WPPSI-III</t>
  </si>
  <si>
    <t>2,5 to 3,9 yo</t>
  </si>
  <si>
    <t>Prenatal</t>
  </si>
  <si>
    <t>cord</t>
  </si>
  <si>
    <t>Log2</t>
  </si>
  <si>
    <t>child age, child sex, maternal education, evaluation site and cord blood mercury (log-2 scale)</t>
  </si>
  <si>
    <t>child age, child sex, evaluation site, marital status, familial income, HOME total score, Parenting Stress Index, and cord blood lead (log-2 scale)</t>
  </si>
  <si>
    <t>Children and their families</t>
  </si>
  <si>
    <t>Australia, New South Wales, Port Pirie and Broken Hill</t>
  </si>
  <si>
    <t>Australia</t>
  </si>
  <si>
    <t>Y</t>
  </si>
  <si>
    <t>Cross-sectional</t>
  </si>
  <si>
    <t>November 2006 to September 2010</t>
  </si>
  <si>
    <t xml:space="preserve">147 families / 127 children living in proximity to mining and smelting plants. </t>
  </si>
  <si>
    <t>FSIQ from WISC-IV</t>
  </si>
  <si>
    <t>7-8 yo</t>
  </si>
  <si>
    <t>Unadjusted</t>
  </si>
  <si>
    <t>Non-linear function</t>
  </si>
  <si>
    <t>1 log10</t>
  </si>
  <si>
    <t>&lt;0,01</t>
  </si>
  <si>
    <t>Current maternal smoking, breastfeeding, income, HOME score and stressful life events</t>
  </si>
  <si>
    <t>Sheyang Mini Birth Cohort Study (SMBCS)</t>
  </si>
  <si>
    <t xml:space="preserve"> Sheyang County of Jiangsu Province, China</t>
  </si>
  <si>
    <t>Asia</t>
  </si>
  <si>
    <t>Birth cohort</t>
  </si>
  <si>
    <t>Mothers and infants</t>
  </si>
  <si>
    <t>Approx 7</t>
  </si>
  <si>
    <t>Urine</t>
  </si>
  <si>
    <t>µg/L</t>
  </si>
  <si>
    <t>1 ?</t>
  </si>
  <si>
    <t>Adjusted for maternal age, maternal education, family annual income, passive smoking during pregnancy, marital status during follow-up, breastfeeding duration, child’s sex, physicians for intellectual assessment, ln-transformed creatinine concentration</t>
  </si>
  <si>
    <t>China Jintan Child Cohort Study</t>
  </si>
  <si>
    <t>Jintan city, Jiangsu province, China</t>
  </si>
  <si>
    <t>Cohort</t>
  </si>
  <si>
    <t>Inclusion 2004-2005 and follow-up in 2011-2013</t>
  </si>
  <si>
    <t>FSIQ from WISC-R</t>
  </si>
  <si>
    <t>3 to 5</t>
  </si>
  <si>
    <t>Average parental education</t>
  </si>
  <si>
    <t>Paternal education</t>
  </si>
  <si>
    <t>Maternal education</t>
  </si>
  <si>
    <t>8 case control studies, published between 2000 and 2020</t>
  </si>
  <si>
    <t>Nigeria, USA, Mexico, Saudi Arabia</t>
  </si>
  <si>
    <t>case controls</t>
  </si>
  <si>
    <t>3316 from 8 studies</t>
  </si>
  <si>
    <t>Multiple</t>
  </si>
  <si>
    <t xml:space="preserve">&lt;12 </t>
  </si>
  <si>
    <t xml:space="preserve">Blood or hair </t>
  </si>
  <si>
    <t>Categories</t>
  </si>
  <si>
    <t>South Korea administrative regions (two urban cities, two industrial cities, and one rural district)</t>
  </si>
  <si>
    <t>FSIQ from Korean WISC</t>
  </si>
  <si>
    <t>8 to 11 yo</t>
  </si>
  <si>
    <t>Demographic variables (age, sex, residential region, paternal education level, and yearly income)</t>
  </si>
  <si>
    <t>Estimate with more covariates in adjustment set available</t>
  </si>
  <si>
    <t>South Korea administrative regions ((i.e., two urban cities, two industrial cities, and one rural district)</t>
  </si>
  <si>
    <t>Demographic variables plus ADHD-RS scores (parent- and teacher-rated scores for inattention and hyperactivity/impulsivity) and CPT scores</t>
  </si>
  <si>
    <t>South Korea administrative regions (i.e., two urban cities, two industrial cities, and one rural district)</t>
  </si>
  <si>
    <t>Demographic variables and ADHD-RS and CPT scores, plus log10-transformed environmental chemical concentrations [blood mercury and manganese concentrations, and creatinine-standardized urine concentrations of cotinine, phthalate metabolites (MnBP, MEOHP + MEHP), and BPA]</t>
  </si>
  <si>
    <t>The Rochester and Cincinnati studies from Lanphear et al. 2005</t>
  </si>
  <si>
    <t>USA (New York and Ohio)</t>
  </si>
  <si>
    <t>Cohorts</t>
  </si>
  <si>
    <t>Inclusion 1979-1984 for Cincinnati and 1994-1995 for Rochester</t>
  </si>
  <si>
    <t>Pregnant women and children</t>
  </si>
  <si>
    <t>Site, birth weight, maternal education and HOME score</t>
  </si>
  <si>
    <t>Postnatal</t>
  </si>
  <si>
    <t xml:space="preserve">0 to 6 </t>
  </si>
  <si>
    <t>µg/dl</t>
  </si>
  <si>
    <t>Site, birth weight, maternal education, maternal IQ, HOME score and Pb 6-year/2-year ratio</t>
  </si>
  <si>
    <t>Pregnant women and newborns</t>
  </si>
  <si>
    <t>Taiwan</t>
  </si>
  <si>
    <t>Inclusion 2001-2002</t>
  </si>
  <si>
    <t>2-3 yo</t>
  </si>
  <si>
    <t>ln</t>
  </si>
  <si>
    <t>Recalculation of SE does not work, central estimate is not in the middle of the CI</t>
  </si>
  <si>
    <t>Gender, maternal education, maternal age, maternal BPb and alcohol consumption during pregnancy</t>
  </si>
  <si>
    <t>3rd trimester</t>
  </si>
  <si>
    <t>Gender, maternal education, maternal age, alcohol consumption during pregnancy</t>
  </si>
  <si>
    <t>5-6 yo</t>
  </si>
  <si>
    <t>2-9 yo</t>
  </si>
  <si>
    <t>5 and 8</t>
  </si>
  <si>
    <t>Adjusted for gender, HOME score, birth weight, maternal BPb, maternal education, maternal age, pesticide use, pre-pregnancy smoking, and post-pregnancy alcohol drinking (repeated measure analysis)</t>
  </si>
  <si>
    <t>Children living close to lead mineral concentrate storage site</t>
  </si>
  <si>
    <t>Antofagasta, Northern Chile, South America</t>
  </si>
  <si>
    <t>South America</t>
  </si>
  <si>
    <t>Follow-up study</t>
  </si>
  <si>
    <t>Recruitment in 1998, follow up in 2005</t>
  </si>
  <si>
    <t>Approx 12</t>
  </si>
  <si>
    <t>Maternal IQ, mother’s education, HOME score, child’s sex, number of siblings, home ownership and household income (as proxy of SES).</t>
  </si>
  <si>
    <t xml:space="preserve">Rochester, New York, USA </t>
  </si>
  <si>
    <t>prospective cohort</t>
  </si>
  <si>
    <t>Inclusion 1994-1995</t>
  </si>
  <si>
    <t>FSIQ from WPPSI-R</t>
  </si>
  <si>
    <t>Between 6 mo to 6 y</t>
  </si>
  <si>
    <t>Child’s sex, birth weight, and transferrin saturation; mother’s race, IQ, and education level; HOME-SF total score, family income, and maternal prenatal smoking.</t>
  </si>
  <si>
    <t>Differences between exposure categories</t>
  </si>
  <si>
    <t>South Korea</t>
  </si>
  <si>
    <t>Cross sectional</t>
  </si>
  <si>
    <t>&lt;0.001</t>
  </si>
  <si>
    <t>Age, gender, maternal education, paternal education, yearly income, maternal smoking during pregnancy, indirect smoking after birth, birth weight and mother's age at birth</t>
  </si>
  <si>
    <t>Uncertainty not reported</t>
  </si>
  <si>
    <t>beta (part of additive interaction model)</t>
  </si>
  <si>
    <t>Additive interaction model with other pollutant</t>
  </si>
  <si>
    <t>Pooled analysis, reanalysis from Lanphear et al. 2005</t>
  </si>
  <si>
    <t>Global</t>
  </si>
  <si>
    <t>Seven population-based longitudinal cohort studies</t>
  </si>
  <si>
    <t>FSIQ according to WISC</t>
  </si>
  <si>
    <t>Concurrent &lt;7.5 µg/dL</t>
  </si>
  <si>
    <t>beta (piecewise linear)</t>
  </si>
  <si>
    <t>HOME score, maternal education, maternal IQ and birth weight</t>
  </si>
  <si>
    <t>Concurrent ≥7.5 µg/dL</t>
  </si>
  <si>
    <t>Concurrent &lt;10 µg/dL</t>
  </si>
  <si>
    <t>Concurrent ≥10 µg/dL</t>
  </si>
  <si>
    <t>Site, HOME score, birth weight, maternal IQ and maternal education</t>
  </si>
  <si>
    <t xml:space="preserve">Subset of the Environment and Development of children study </t>
  </si>
  <si>
    <t>Korea</t>
  </si>
  <si>
    <t>Inclusion 2008-2010, follow-up every 2 years from 2012 to 2017</t>
  </si>
  <si>
    <t>Maternal education, exposure to ETS during pregnancy, maternal age and maternal IQ</t>
  </si>
  <si>
    <t>Italy</t>
  </si>
  <si>
    <t>2013-0213</t>
  </si>
  <si>
    <t>beta (digitalized)</t>
  </si>
  <si>
    <t>0,84 (IQR) or categorical ?</t>
  </si>
  <si>
    <t>Sex and SES</t>
  </si>
  <si>
    <t>0,48 (IQR) or categorical ?</t>
  </si>
  <si>
    <t>Hair</t>
  </si>
  <si>
    <t>0,19 (IQR) or categorical ?</t>
  </si>
  <si>
    <t>Nails</t>
  </si>
  <si>
    <t>0,38 (IQR) or categorical ?</t>
  </si>
  <si>
    <t>Saliva</t>
  </si>
  <si>
    <t>1,54 (IQR) or categorical ?</t>
  </si>
  <si>
    <t>2004-2005</t>
  </si>
  <si>
    <t xml:space="preserve">Adolescents </t>
  </si>
  <si>
    <t>Northern Italy (Valcamonica and Garda Lake regions)</t>
  </si>
  <si>
    <t>Cross-sectional study</t>
  </si>
  <si>
    <t>Adolescents (11-14)</t>
  </si>
  <si>
    <t>FSIQ from WISC III</t>
  </si>
  <si>
    <t>11 to 14</t>
  </si>
  <si>
    <t>SES, area, alcohol consumption, hemoglobin levels</t>
  </si>
  <si>
    <t>Children from 5 sub-areas with incremental distance from a highly industrial area</t>
  </si>
  <si>
    <t>City of Taranto, Puglia region of Southern Italy, 5 sub-area, incremental distance from a highly industrial area (iron- and steel-making operation, oil refinery and cement factory)</t>
  </si>
  <si>
    <t>Cross sectional, population-based</t>
  </si>
  <si>
    <t>ng/mL</t>
  </si>
  <si>
    <t>Log (natural?)</t>
  </si>
  <si>
    <t xml:space="preserve">Age, sex, maternal SPM, HOME score and distance from the point source. </t>
  </si>
  <si>
    <t xml:space="preserve">Children from 4 elementary school with different distance to an alloy plant </t>
  </si>
  <si>
    <t xml:space="preserve">Municipality of Simões Filho, metropolitan region of Salvador, Bahia, Brazil. </t>
  </si>
  <si>
    <t xml:space="preserve">Cross sectional </t>
  </si>
  <si>
    <t>FSIQ from WASI</t>
  </si>
  <si>
    <t>7 to 12</t>
  </si>
  <si>
    <t>Age, maternal IQ and manganese levels</t>
  </si>
  <si>
    <t>Municipality of Simões Filho, metropolitan region of Salvador, Bahia, Brazil</t>
  </si>
  <si>
    <t>Age, sex and manganese levels</t>
  </si>
  <si>
    <t>Urban county teaching hospital, prospective study on the effects of prenatal cocaine exposure</t>
  </si>
  <si>
    <t xml:space="preserve">USA, urban area </t>
  </si>
  <si>
    <t>birth cohort study</t>
  </si>
  <si>
    <t>Birth 1994-1996</t>
  </si>
  <si>
    <t>&lt;0,05</t>
  </si>
  <si>
    <t>Home Observation for Measurement of the Environment (HOME) score, current caregiver’s Peabody Picture Vocabulary Test-Revised (PPVT-R) at 4 years, child sex, parity, maternal marital status, and head circumference at birth</t>
  </si>
  <si>
    <t>HOME score, birth maternal PPVT-R at birth, child race, log of prenatal cocaine average, and head circumference at birth</t>
  </si>
  <si>
    <t>Non-concurrent measurements (IQ &amp; BLL), linear BLL scale (harmonisation of estimate to log(BLL) statistically not justifiable)</t>
  </si>
  <si>
    <t>HOME score, birth maternal PPVT-R at birth, log of prenatal marijuana 1st trimester, and head circumference at birth</t>
  </si>
  <si>
    <t>Children from 12 schools in 4 different zones</t>
  </si>
  <si>
    <t>Chennai, India</t>
  </si>
  <si>
    <t>Binet–Kamath Scale of Intelligence (Tamil version of Stanford–Binet) (FSIQ)</t>
  </si>
  <si>
    <t>3 to 7 (mean 5)</t>
  </si>
  <si>
    <t xml:space="preserve">Controlling for midarm circumference, age, sex, family income, parental education, and family size and accounting for school and classroom levels. </t>
  </si>
  <si>
    <t>Same sample as Roy 2013</t>
  </si>
  <si>
    <t>age, age² in months, sex, mid-arm circumference, average monthly household income, parental education, family size</t>
  </si>
  <si>
    <t>Mexico City</t>
  </si>
  <si>
    <t>cohort study</t>
  </si>
  <si>
    <t>1987-2002</t>
  </si>
  <si>
    <t>6 to 10</t>
  </si>
  <si>
    <t>Delivery</t>
  </si>
  <si>
    <t>Natural log</t>
  </si>
  <si>
    <t>Maternal IQ, sex, SES, birth weight and first FSIQ measurement</t>
  </si>
  <si>
    <t>Cord</t>
  </si>
  <si>
    <t xml:space="preserve">Prenatal </t>
  </si>
  <si>
    <t>12-20 wks</t>
  </si>
  <si>
    <t>28-36 wks</t>
  </si>
  <si>
    <t>1-5 yo</t>
  </si>
  <si>
    <t>Average</t>
  </si>
  <si>
    <t>1-2 yo</t>
  </si>
  <si>
    <t xml:space="preserve">Average </t>
  </si>
  <si>
    <t>3-5 yo</t>
  </si>
  <si>
    <t>Result from panel regression</t>
  </si>
  <si>
    <t>Mixed model : sex, birth weight, SES, maternal IQ, first IQ measurement and other windows of exposure</t>
  </si>
  <si>
    <t>1-6 yo</t>
  </si>
  <si>
    <t>Maternal IQ, child sex, birth weight, socioeconomic status (based on parental education, occupation, and income), indicator for first FSIQ testing</t>
  </si>
  <si>
    <t>C8 Health Project</t>
  </si>
  <si>
    <t>West Virginia, Ohio, USA</t>
  </si>
  <si>
    <t>cross sectional</t>
  </si>
  <si>
    <t>2005-2006</t>
  </si>
  <si>
    <t>6 to 12</t>
  </si>
  <si>
    <t>Mixture effects (As, Cd, Mn, Pb)</t>
  </si>
  <si>
    <t>Mixture effect</t>
  </si>
  <si>
    <t>New England Children’s Amalgam Trial (NECAT)</t>
  </si>
  <si>
    <t>Boston and Maine, USA</t>
  </si>
  <si>
    <t>ALSPAC (Avon Longitudinal Study of Parents and Children)</t>
  </si>
  <si>
    <t>United Kingdom</t>
  </si>
  <si>
    <t xml:space="preserve">Longitudinal cohort study </t>
  </si>
  <si>
    <t>Inclusion 1991-1992</t>
  </si>
  <si>
    <t>404 (imputed)</t>
  </si>
  <si>
    <t>FSIC from WPPSI</t>
  </si>
  <si>
    <t>Pregnancy</t>
  </si>
  <si>
    <t>Sex, age at testing, maternal education, smoking in pregnancy, alcohol in pregnancy, maternal age, parity, time resident in Avon, housing tenure, household crowding, familiy adversity index and weighted life events score.</t>
  </si>
  <si>
    <t>2217 (imputed)</t>
  </si>
  <si>
    <t>FSID from WISC-III</t>
  </si>
  <si>
    <t>IQ from WPPSI</t>
  </si>
  <si>
    <t>IQ from WISC-III</t>
  </si>
  <si>
    <t>birth cohort</t>
  </si>
  <si>
    <t xml:space="preserve">China Jiangsu province. </t>
  </si>
  <si>
    <t>2009-2017</t>
  </si>
  <si>
    <t>Converted units</t>
  </si>
  <si>
    <t>Sex, maternal age at delivery, age of children, maternal education level, paternal education level, monthly household income, parity, inhabitation area and passive smoking</t>
  </si>
  <si>
    <t>Agricultural region in Jiangsu Province, China</t>
  </si>
  <si>
    <t>Recruitment 2009-2010</t>
  </si>
  <si>
    <t>FSIQ from Chinese WISC</t>
  </si>
  <si>
    <t>Urine (unadjusted)</t>
  </si>
  <si>
    <t>Child sex, maternal age at delivery, maternal education level, family annual income, inhabitation area, and passive smokin</t>
  </si>
  <si>
    <t>Urine (SG-adjusted)</t>
  </si>
  <si>
    <t>µd/dL</t>
  </si>
  <si>
    <t>Reference</t>
  </si>
  <si>
    <t>Identified in literature review</t>
  </si>
  <si>
    <t>Included in meta-analysis</t>
  </si>
  <si>
    <t>x</t>
  </si>
  <si>
    <t>Mixture effects</t>
  </si>
  <si>
    <t xml:space="preserve"> </t>
  </si>
  <si>
    <t>Logarithmic bases</t>
  </si>
  <si>
    <r>
      <rPr>
        <b val="1"/>
        <sz val="11"/>
        <color indexed="8"/>
        <rFont val="Calibri"/>
      </rPr>
      <t>SE</t>
    </r>
    <r>
      <rPr>
        <b val="1"/>
        <sz val="11"/>
        <color indexed="8"/>
        <rFont val="Calibri"/>
      </rPr>
      <t>(beta)</t>
    </r>
  </si>
  <si>
    <t>Logarithmic base</t>
  </si>
  <si>
    <t>Transform to log(e)(BLL)</t>
  </si>
  <si>
    <t>Effect size</t>
  </si>
  <si>
    <t>SE(beta)</t>
  </si>
  <si>
    <t>Bauer et al. 2020</t>
  </si>
  <si>
    <t>Crump et al. 2013</t>
  </si>
  <si>
    <t>Dantzer et al. 2020</t>
  </si>
  <si>
    <t>Desrochers-Couture et al. 2018</t>
  </si>
  <si>
    <t>Earl et al. 2016</t>
  </si>
  <si>
    <t>Hong et al. 2015</t>
  </si>
  <si>
    <t>Lee et al. 2021</t>
  </si>
  <si>
    <t>Lucchini et al. 2019</t>
  </si>
  <si>
    <t>Lucchini et al. 2012</t>
  </si>
  <si>
    <t>Menezes-Filho et al. 2018</t>
  </si>
  <si>
    <t>Roy et al. 2013</t>
  </si>
  <si>
    <t>Schnaas et al. 2006</t>
  </si>
</sst>
</file>

<file path=xl/styles.xml><?xml version="1.0" encoding="utf-8"?>
<styleSheet xmlns="http://schemas.openxmlformats.org/spreadsheetml/2006/main">
  <numFmts count="4">
    <numFmt numFmtId="0" formatCode="General"/>
    <numFmt numFmtId="59" formatCode="0.0000"/>
    <numFmt numFmtId="60" formatCode="0.0"/>
    <numFmt numFmtId="61" formatCode="0.000"/>
  </numFmts>
  <fonts count="12">
    <font>
      <sz val="11"/>
      <color indexed="8"/>
      <name val="Calibri"/>
    </font>
    <font>
      <sz val="12"/>
      <color indexed="8"/>
      <name val="Helvetica Neue"/>
    </font>
    <font>
      <sz val="15"/>
      <color indexed="8"/>
      <name val="Calibri"/>
    </font>
    <font>
      <b val="1"/>
      <sz val="14"/>
      <color indexed="9"/>
      <name val="Calibri"/>
    </font>
    <font>
      <b val="1"/>
      <sz val="14"/>
      <color indexed="8"/>
      <name val="Calibri"/>
    </font>
    <font>
      <b val="1"/>
      <sz val="11"/>
      <color indexed="8"/>
      <name val="Calibri"/>
    </font>
    <font>
      <b val="1"/>
      <sz val="16"/>
      <color indexed="8"/>
      <name val="Calibri"/>
    </font>
    <font>
      <sz val="11"/>
      <color indexed="32"/>
      <name val="Calibri"/>
    </font>
    <font>
      <sz val="11"/>
      <color indexed="34"/>
      <name val="Calibri"/>
    </font>
    <font>
      <sz val="10"/>
      <color indexed="8"/>
      <name val="Helvetica Neue"/>
    </font>
    <font>
      <b val="1"/>
      <sz val="12"/>
      <color indexed="8"/>
      <name val="Calibri"/>
    </font>
    <font>
      <b val="1"/>
      <sz val="12"/>
      <color indexed="9"/>
      <name val="Calibri"/>
    </font>
  </fonts>
  <fills count="21">
    <fill>
      <patternFill patternType="none"/>
    </fill>
    <fill>
      <patternFill patternType="gray125"/>
    </fill>
    <fill>
      <patternFill patternType="solid">
        <fgColor indexed="10"/>
        <bgColor auto="1"/>
      </patternFill>
    </fill>
    <fill>
      <patternFill patternType="solid">
        <fgColor indexed="11"/>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9"/>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
      <patternFill patternType="solid">
        <fgColor indexed="26"/>
        <bgColor auto="1"/>
      </patternFill>
    </fill>
    <fill>
      <patternFill patternType="solid">
        <fgColor indexed="8"/>
        <bgColor auto="1"/>
      </patternFill>
    </fill>
    <fill>
      <patternFill patternType="solid">
        <fgColor indexed="27"/>
        <bgColor auto="1"/>
      </patternFill>
    </fill>
    <fill>
      <patternFill patternType="solid">
        <fgColor indexed="28"/>
        <bgColor auto="1"/>
      </patternFill>
    </fill>
    <fill>
      <patternFill patternType="solid">
        <fgColor indexed="29"/>
        <bgColor auto="1"/>
      </patternFill>
    </fill>
    <fill>
      <patternFill patternType="solid">
        <fgColor indexed="30"/>
        <bgColor auto="1"/>
      </patternFill>
    </fill>
    <fill>
      <patternFill patternType="solid">
        <fgColor indexed="31"/>
        <bgColor auto="1"/>
      </patternFill>
    </fill>
    <fill>
      <patternFill patternType="solid">
        <fgColor indexed="35"/>
        <bgColor auto="1"/>
      </patternFill>
    </fill>
    <fill>
      <patternFill patternType="solid">
        <fgColor indexed="36"/>
        <bgColor auto="1"/>
      </patternFill>
    </fill>
  </fills>
  <borders count="46">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20"/>
      </top>
      <bottom style="thin">
        <color indexed="8"/>
      </bottom>
      <diagonal/>
    </border>
    <border>
      <left/>
      <right style="thin">
        <color indexed="20"/>
      </right>
      <top style="thin">
        <color indexed="20"/>
      </top>
      <bottom style="thin">
        <color indexed="8"/>
      </bottom>
      <diagonal/>
    </border>
    <border>
      <left style="thin">
        <color indexed="8"/>
      </left>
      <right style="thin">
        <color indexed="20"/>
      </right>
      <top style="thin">
        <color indexed="8"/>
      </top>
      <bottom style="thin">
        <color indexed="8"/>
      </bottom>
      <diagonal/>
    </border>
    <border>
      <left style="thin">
        <color indexed="20"/>
      </left>
      <right style="thin">
        <color indexed="20"/>
      </right>
      <top style="thin">
        <color indexed="8"/>
      </top>
      <bottom style="thin">
        <color indexed="20"/>
      </bottom>
      <diagonal/>
    </border>
    <border>
      <left style="thin">
        <color indexed="20"/>
      </left>
      <right style="thin">
        <color indexed="20"/>
      </right>
      <top style="thin">
        <color indexed="8"/>
      </top>
      <bottom style="thin">
        <color indexed="8"/>
      </bottom>
      <diagonal/>
    </border>
    <border>
      <left style="thin">
        <color indexed="20"/>
      </left>
      <right style="thin">
        <color indexed="20"/>
      </right>
      <top style="thin">
        <color indexed="20"/>
      </top>
      <bottom style="thin">
        <color indexed="20"/>
      </bottom>
      <diagonal/>
    </border>
    <border>
      <left style="thin">
        <color indexed="20"/>
      </left>
      <right style="thin">
        <color indexed="8"/>
      </right>
      <top style="thin">
        <color indexed="20"/>
      </top>
      <bottom style="thin">
        <color indexed="20"/>
      </bottom>
      <diagonal/>
    </border>
    <border>
      <left style="thin">
        <color indexed="8"/>
      </left>
      <right style="thin">
        <color indexed="20"/>
      </right>
      <top style="thin">
        <color indexed="20"/>
      </top>
      <bottom style="thin">
        <color indexed="20"/>
      </bottom>
      <diagonal/>
    </border>
    <border>
      <left style="thin">
        <color indexed="20"/>
      </left>
      <right style="thin">
        <color indexed="20"/>
      </right>
      <top style="thin">
        <color indexed="20"/>
      </top>
      <bottom style="thin">
        <color indexed="8"/>
      </bottom>
      <diagonal/>
    </border>
    <border>
      <left style="thin">
        <color indexed="20"/>
      </left>
      <right/>
      <top style="thin">
        <color indexed="20"/>
      </top>
      <bottom style="thin">
        <color indexed="8"/>
      </bottom>
      <diagonal/>
    </border>
    <border>
      <left/>
      <right style="thin">
        <color indexed="8"/>
      </right>
      <top style="thin">
        <color indexed="8"/>
      </top>
      <bottom style="thin">
        <color indexed="8"/>
      </bottom>
      <diagonal/>
    </border>
    <border>
      <left style="thin">
        <color indexed="8"/>
      </left>
      <right/>
      <top style="thin">
        <color indexed="20"/>
      </top>
      <bottom style="thin">
        <color indexed="8"/>
      </bottom>
      <diagonal/>
    </border>
    <border>
      <left/>
      <right style="thin">
        <color indexed="8"/>
      </right>
      <top style="thin">
        <color indexed="20"/>
      </top>
      <bottom style="thin">
        <color indexed="8"/>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medium">
        <color indexed="8"/>
      </left>
      <right style="medium">
        <color indexed="8"/>
      </right>
      <top style="thin">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diagonal/>
    </border>
    <border>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medium">
        <color indexed="8"/>
      </right>
      <top/>
      <bottom style="thin">
        <color indexed="8"/>
      </bottom>
      <diagonal/>
    </border>
  </borders>
  <cellStyleXfs count="1">
    <xf numFmtId="0" fontId="0" applyNumberFormat="0" applyFont="1" applyFill="0" applyBorder="0" applyAlignment="1" applyProtection="0">
      <alignment vertical="bottom"/>
    </xf>
  </cellStyleXfs>
  <cellXfs count="168">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3" fillId="2" borderId="1" applyNumberFormat="0" applyFont="1" applyFill="1" applyBorder="1" applyAlignment="1" applyProtection="0">
      <alignment horizontal="center" vertical="center" wrapText="1"/>
    </xf>
    <xf numFmtId="49" fontId="3" fillId="2" borderId="1" applyNumberFormat="1" applyFont="1" applyFill="1" applyBorder="1" applyAlignment="1" applyProtection="0">
      <alignment horizontal="center" vertical="center" wrapText="1"/>
    </xf>
    <xf numFmtId="49" fontId="3" fillId="3" borderId="1" applyNumberFormat="1" applyFont="1" applyFill="1" applyBorder="1" applyAlignment="1" applyProtection="0">
      <alignment horizontal="center" vertical="center"/>
    </xf>
    <xf numFmtId="0" fontId="3" fillId="3" borderId="1" applyNumberFormat="0" applyFont="1" applyFill="1" applyBorder="1" applyAlignment="1" applyProtection="0">
      <alignment horizontal="center" vertical="center"/>
    </xf>
    <xf numFmtId="49" fontId="3" fillId="4" borderId="1" applyNumberFormat="1" applyFont="1" applyFill="1" applyBorder="1" applyAlignment="1" applyProtection="0">
      <alignment horizontal="center" vertical="center"/>
    </xf>
    <xf numFmtId="0" fontId="3" fillId="4" borderId="1" applyNumberFormat="0" applyFont="1" applyFill="1" applyBorder="1" applyAlignment="1" applyProtection="0">
      <alignment horizontal="center" vertical="center"/>
    </xf>
    <xf numFmtId="49" fontId="4" fillId="5" borderId="2" applyNumberFormat="1" applyFont="1" applyFill="1" applyBorder="1" applyAlignment="1" applyProtection="0">
      <alignment horizontal="center" vertical="center" wrapText="1"/>
    </xf>
    <xf numFmtId="49" fontId="3" fillId="6" borderId="3" applyNumberFormat="1" applyFont="1" applyFill="1" applyBorder="1" applyAlignment="1" applyProtection="0">
      <alignment horizontal="center" vertical="center" wrapText="1"/>
    </xf>
    <xf numFmtId="0" fontId="3" fillId="6" borderId="3" applyNumberFormat="0" applyFont="1" applyFill="1" applyBorder="1" applyAlignment="1" applyProtection="0">
      <alignment horizontal="center" vertical="center" wrapText="1"/>
    </xf>
    <xf numFmtId="0" fontId="3" fillId="6" borderId="4" applyNumberFormat="0" applyFont="1" applyFill="1" applyBorder="1" applyAlignment="1" applyProtection="0">
      <alignment horizontal="center" vertical="center" wrapText="1"/>
    </xf>
    <xf numFmtId="49" fontId="5" fillId="7" borderId="1" applyNumberFormat="1" applyFont="1" applyFill="1" applyBorder="1" applyAlignment="1" applyProtection="0">
      <alignment vertical="center" wrapText="1"/>
    </xf>
    <xf numFmtId="49" fontId="5" fillId="8" borderId="1" applyNumberFormat="1" applyFont="1" applyFill="1" applyBorder="1" applyAlignment="1" applyProtection="0">
      <alignment vertical="bottom"/>
    </xf>
    <xf numFmtId="49" fontId="5" fillId="9" borderId="1" applyNumberFormat="1" applyFont="1" applyFill="1" applyBorder="1" applyAlignment="1" applyProtection="0">
      <alignment vertical="center" wrapText="1"/>
    </xf>
    <xf numFmtId="49" fontId="5" fillId="10" borderId="1" applyNumberFormat="1" applyFont="1" applyFill="1" applyBorder="1" applyAlignment="1" applyProtection="0">
      <alignment vertical="bottom"/>
    </xf>
    <xf numFmtId="0" fontId="5" fillId="10" borderId="1" applyNumberFormat="1" applyFont="1" applyFill="1" applyBorder="1" applyAlignment="1" applyProtection="0">
      <alignment vertical="bottom"/>
    </xf>
    <xf numFmtId="49" fontId="0" fillId="7" borderId="1" applyNumberFormat="1" applyFont="1" applyFill="1" applyBorder="1" applyAlignment="1" applyProtection="0">
      <alignment vertical="center"/>
    </xf>
    <xf numFmtId="0" fontId="0" fillId="7" borderId="1" applyNumberFormat="0" applyFont="1" applyFill="1" applyBorder="1" applyAlignment="1" applyProtection="0">
      <alignment vertical="center"/>
    </xf>
    <xf numFmtId="0" fontId="0" fillId="7" borderId="1" applyNumberFormat="1" applyFont="1" applyFill="1" applyBorder="1" applyAlignment="1" applyProtection="0">
      <alignment vertical="center"/>
    </xf>
    <xf numFmtId="49" fontId="0" fillId="7" borderId="1" applyNumberFormat="1" applyFont="1" applyFill="1" applyBorder="1" applyAlignment="1" applyProtection="0">
      <alignment vertical="center" wrapText="1"/>
    </xf>
    <xf numFmtId="0" fontId="0" fillId="7" borderId="1" applyNumberFormat="0" applyFont="1" applyFill="1" applyBorder="1" applyAlignment="1" applyProtection="0">
      <alignment vertical="center" wrapText="1"/>
    </xf>
    <xf numFmtId="49" fontId="0" fillId="7" borderId="1" applyNumberFormat="1" applyFont="1" applyFill="1" applyBorder="1" applyAlignment="1" applyProtection="0">
      <alignment horizontal="center" vertical="center"/>
    </xf>
    <xf numFmtId="0" fontId="0" fillId="7" borderId="5" applyNumberFormat="0" applyFont="1" applyFill="1" applyBorder="1" applyAlignment="1" applyProtection="0">
      <alignment vertical="center" wrapText="1"/>
    </xf>
    <xf numFmtId="0" fontId="5" fillId="10" borderId="6" applyNumberFormat="0" applyFont="1" applyFill="1" applyBorder="1" applyAlignment="1" applyProtection="0">
      <alignment vertical="bottom"/>
    </xf>
    <xf numFmtId="0" fontId="0" fillId="7" borderId="6" applyNumberFormat="0" applyFont="1" applyFill="1" applyBorder="1" applyAlignment="1" applyProtection="0">
      <alignment vertical="center"/>
    </xf>
    <xf numFmtId="0" fontId="0" fillId="7" borderId="6" applyNumberFormat="0" applyFont="1" applyFill="1" applyBorder="1" applyAlignment="1" applyProtection="0">
      <alignment vertical="center" wrapText="1"/>
    </xf>
    <xf numFmtId="0" fontId="0" fillId="7" borderId="7" applyNumberFormat="0" applyFont="1" applyFill="1" applyBorder="1" applyAlignment="1" applyProtection="0">
      <alignment vertical="center"/>
    </xf>
    <xf numFmtId="0" fontId="5" fillId="10" borderId="8" applyNumberFormat="0" applyFont="1" applyFill="1" applyBorder="1" applyAlignment="1" applyProtection="0">
      <alignment vertical="bottom"/>
    </xf>
    <xf numFmtId="0" fontId="0" fillId="7" borderId="8" applyNumberFormat="0" applyFont="1" applyFill="1" applyBorder="1" applyAlignment="1" applyProtection="0">
      <alignment vertical="center"/>
    </xf>
    <xf numFmtId="0" fontId="0" fillId="7" borderId="8" applyNumberFormat="0" applyFont="1" applyFill="1" applyBorder="1" applyAlignment="1" applyProtection="0">
      <alignment vertical="center" wrapText="1"/>
    </xf>
    <xf numFmtId="0" fontId="0" fillId="7" borderId="9" applyNumberFormat="0" applyFont="1" applyFill="1" applyBorder="1" applyAlignment="1" applyProtection="0">
      <alignment vertical="center"/>
    </xf>
    <xf numFmtId="0" fontId="0" fillId="7" borderId="10" applyNumberFormat="0" applyFont="1" applyFill="1" applyBorder="1" applyAlignment="1" applyProtection="0">
      <alignment vertical="center"/>
    </xf>
    <xf numFmtId="0" fontId="0" applyNumberFormat="1" applyFont="1" applyFill="0" applyBorder="0" applyAlignment="1" applyProtection="0">
      <alignment vertical="bottom"/>
    </xf>
    <xf numFmtId="0" fontId="5" fillId="8" borderId="11" applyNumberFormat="0" applyFont="1" applyFill="1" applyBorder="1" applyAlignment="1" applyProtection="0">
      <alignment vertical="bottom"/>
    </xf>
    <xf numFmtId="49" fontId="6" fillId="5" borderId="12" applyNumberFormat="1" applyFont="1" applyFill="1" applyBorder="1" applyAlignment="1" applyProtection="0">
      <alignment horizontal="center" vertical="bottom"/>
    </xf>
    <xf numFmtId="0" fontId="6" fillId="5" borderId="3" applyNumberFormat="0" applyFont="1" applyFill="1" applyBorder="1" applyAlignment="1" applyProtection="0">
      <alignment horizontal="center" vertical="bottom"/>
    </xf>
    <xf numFmtId="49" fontId="6" fillId="11" borderId="13" applyNumberFormat="1" applyFont="1" applyFill="1" applyBorder="1" applyAlignment="1" applyProtection="0">
      <alignment horizontal="center" vertical="bottom"/>
    </xf>
    <xf numFmtId="0" fontId="6" fillId="11" borderId="1" applyNumberFormat="0" applyFont="1" applyFill="1" applyBorder="1" applyAlignment="1" applyProtection="0">
      <alignment horizontal="center" vertical="bottom"/>
    </xf>
    <xf numFmtId="49" fontId="6" fillId="5" borderId="14" applyNumberFormat="1" applyFont="1" applyFill="1" applyBorder="1" applyAlignment="1" applyProtection="0">
      <alignment horizontal="center" vertical="bottom"/>
    </xf>
    <xf numFmtId="49" fontId="6" fillId="12" borderId="3" applyNumberFormat="1" applyFont="1" applyFill="1" applyBorder="1" applyAlignment="1" applyProtection="0">
      <alignment horizontal="center" vertical="bottom"/>
    </xf>
    <xf numFmtId="0" fontId="6" fillId="12" borderId="3" applyNumberFormat="0" applyFont="1" applyFill="1" applyBorder="1" applyAlignment="1" applyProtection="0">
      <alignment horizontal="center" vertical="bottom"/>
    </xf>
    <xf numFmtId="0" fontId="6" fillId="12" borderId="15" applyNumberFormat="0" applyFont="1" applyFill="1" applyBorder="1" applyAlignment="1" applyProtection="0">
      <alignment horizontal="center" vertical="bottom"/>
    </xf>
    <xf numFmtId="0" fontId="5" fillId="13" borderId="14" applyNumberFormat="0" applyFont="1" applyFill="1" applyBorder="1" applyAlignment="1" applyProtection="0">
      <alignment vertical="bottom"/>
    </xf>
    <xf numFmtId="49" fontId="6" fillId="14" borderId="3" applyNumberFormat="1" applyFont="1" applyFill="1" applyBorder="1" applyAlignment="1" applyProtection="0">
      <alignment horizontal="center" vertical="center"/>
    </xf>
    <xf numFmtId="0" fontId="6" fillId="14" borderId="4" applyNumberFormat="0" applyFont="1" applyFill="1" applyBorder="1" applyAlignment="1" applyProtection="0">
      <alignment horizontal="center" vertical="center"/>
    </xf>
    <xf numFmtId="49" fontId="5" fillId="15" borderId="1" applyNumberFormat="1" applyFont="1" applyFill="1" applyBorder="1" applyAlignment="1" applyProtection="0">
      <alignment horizontal="left" vertical="center" wrapText="1"/>
    </xf>
    <xf numFmtId="49" fontId="5" fillId="7" borderId="1" applyNumberFormat="1" applyFont="1" applyFill="1" applyBorder="1" applyAlignment="1" applyProtection="0">
      <alignment horizontal="left" vertical="center" wrapText="1"/>
    </xf>
    <xf numFmtId="49" fontId="5" fillId="16" borderId="1" applyNumberFormat="1" applyFont="1" applyFill="1" applyBorder="1" applyAlignment="1" applyProtection="0">
      <alignment horizontal="left" vertical="center" wrapText="1"/>
    </xf>
    <xf numFmtId="49" fontId="5" fillId="17" borderId="1" applyNumberFormat="1" applyFont="1" applyFill="1" applyBorder="1" applyAlignment="1" applyProtection="0">
      <alignment horizontal="left" vertical="center" wrapText="1"/>
    </xf>
    <xf numFmtId="49" fontId="5" fillId="18" borderId="1" applyNumberFormat="1" applyFont="1" applyFill="1" applyBorder="1" applyAlignment="1" applyProtection="0">
      <alignment horizontal="left" vertical="center" wrapText="1"/>
    </xf>
    <xf numFmtId="0" fontId="5" fillId="13" borderId="1" applyNumberFormat="0" applyFont="1" applyFill="1" applyBorder="1" applyAlignment="1" applyProtection="0">
      <alignment horizontal="left" vertical="center" wrapText="1"/>
    </xf>
    <xf numFmtId="49" fontId="0" fillId="7" borderId="1" applyNumberFormat="1" applyFont="1" applyFill="1" applyBorder="1" applyAlignment="1" applyProtection="0">
      <alignment horizontal="left" vertical="center" wrapText="1"/>
    </xf>
    <xf numFmtId="0" fontId="0" fillId="7" borderId="1" applyNumberFormat="0" applyFont="1" applyFill="1" applyBorder="1" applyAlignment="1" applyProtection="0">
      <alignment horizontal="left" vertical="center" wrapText="1"/>
    </xf>
    <xf numFmtId="0" fontId="0" fillId="7" borderId="1" applyNumberFormat="1" applyFont="1" applyFill="1" applyBorder="1" applyAlignment="1" applyProtection="0">
      <alignment horizontal="left" vertical="center" wrapText="1"/>
    </xf>
    <xf numFmtId="49" fontId="0" fillId="16" borderId="1" applyNumberFormat="1" applyFont="1" applyFill="1" applyBorder="1" applyAlignment="1" applyProtection="0">
      <alignment horizontal="left" vertical="center" wrapText="1"/>
    </xf>
    <xf numFmtId="0" fontId="0" fillId="16" borderId="1" applyNumberFormat="1" applyFont="1" applyFill="1" applyBorder="1" applyAlignment="1" applyProtection="0">
      <alignment horizontal="left" vertical="center" wrapText="1"/>
    </xf>
    <xf numFmtId="49" fontId="7" fillId="7" borderId="1" applyNumberFormat="1" applyFont="1" applyFill="1" applyBorder="1" applyAlignment="1" applyProtection="0">
      <alignment horizontal="left" vertical="center" wrapText="1"/>
    </xf>
    <xf numFmtId="0" fontId="0" fillId="17" borderId="1" applyNumberFormat="0" applyFont="1" applyFill="1" applyBorder="1" applyAlignment="1" applyProtection="0">
      <alignment horizontal="left" vertical="center" wrapText="1"/>
    </xf>
    <xf numFmtId="59" fontId="0" fillId="17" borderId="1" applyNumberFormat="1" applyFont="1" applyFill="1" applyBorder="1" applyAlignment="1" applyProtection="0">
      <alignment horizontal="left" vertical="center" wrapText="1"/>
    </xf>
    <xf numFmtId="2" fontId="0" fillId="17" borderId="1" applyNumberFormat="1" applyFont="1" applyFill="1" applyBorder="1" applyAlignment="1" applyProtection="0">
      <alignment horizontal="left" vertical="center" wrapText="1"/>
    </xf>
    <xf numFmtId="9" fontId="0" fillId="17" borderId="1" applyNumberFormat="1" applyFont="1" applyFill="1" applyBorder="1" applyAlignment="1" applyProtection="0">
      <alignment horizontal="left" vertical="center" wrapText="1"/>
    </xf>
    <xf numFmtId="2" fontId="0" fillId="18" borderId="1" applyNumberFormat="1" applyFont="1" applyFill="1" applyBorder="1" applyAlignment="1" applyProtection="0">
      <alignment horizontal="left" vertical="center" wrapText="1"/>
    </xf>
    <xf numFmtId="0" fontId="0" fillId="13" borderId="1" applyNumberFormat="0" applyFont="1" applyFill="1" applyBorder="1" applyAlignment="1" applyProtection="0">
      <alignment horizontal="left" vertical="center" wrapText="1"/>
    </xf>
    <xf numFmtId="49" fontId="0" fillId="16" borderId="1" applyNumberFormat="1" applyFont="1" applyFill="1" applyBorder="1" applyAlignment="1" applyProtection="0">
      <alignment horizontal="left" vertical="center"/>
    </xf>
    <xf numFmtId="49" fontId="0" fillId="17" borderId="1" applyNumberFormat="1" applyFont="1" applyFill="1" applyBorder="1" applyAlignment="1" applyProtection="0">
      <alignment horizontal="left" vertical="center" wrapText="1"/>
    </xf>
    <xf numFmtId="59" fontId="0" fillId="17" borderId="1" applyNumberFormat="1" applyFont="1" applyFill="1" applyBorder="1" applyAlignment="1" applyProtection="0">
      <alignment horizontal="left" vertical="center"/>
    </xf>
    <xf numFmtId="2" fontId="0" fillId="18" borderId="1" applyNumberFormat="1" applyFont="1" applyFill="1" applyBorder="1" applyAlignment="1" applyProtection="0">
      <alignment horizontal="left" vertical="center"/>
    </xf>
    <xf numFmtId="49" fontId="8" fillId="7" borderId="1" applyNumberFormat="1" applyFont="1" applyFill="1" applyBorder="1" applyAlignment="1" applyProtection="0">
      <alignment horizontal="left" vertical="center" wrapText="1"/>
    </xf>
    <xf numFmtId="0" fontId="0" fillId="17" borderId="1" applyNumberFormat="0" applyFont="1" applyFill="1" applyBorder="1" applyAlignment="1" applyProtection="0">
      <alignment horizontal="left" vertical="center"/>
    </xf>
    <xf numFmtId="49" fontId="0" fillId="7" borderId="1" applyNumberFormat="1" applyFont="1" applyFill="1" applyBorder="1" applyAlignment="1" applyProtection="0">
      <alignment horizontal="center" vertical="center" wrapText="1"/>
    </xf>
    <xf numFmtId="0" fontId="0" fillId="17" borderId="1" applyNumberFormat="1" applyFont="1" applyFill="1" applyBorder="1" applyAlignment="1" applyProtection="0">
      <alignment horizontal="left" vertical="center" wrapText="1"/>
    </xf>
    <xf numFmtId="0" fontId="0" fillId="16" borderId="1" applyNumberFormat="0" applyFont="1" applyFill="1" applyBorder="1" applyAlignment="1" applyProtection="0">
      <alignment horizontal="left" vertical="center" wrapText="1"/>
    </xf>
    <xf numFmtId="2" fontId="0" fillId="16" borderId="1" applyNumberFormat="1" applyFont="1" applyFill="1" applyBorder="1" applyAlignment="1" applyProtection="0">
      <alignment horizontal="left" vertical="center" wrapText="1"/>
    </xf>
    <xf numFmtId="0" fontId="7" fillId="17" borderId="1" applyNumberFormat="1" applyFont="1" applyFill="1" applyBorder="1" applyAlignment="1" applyProtection="0">
      <alignment horizontal="left" vertical="center" wrapText="1"/>
    </xf>
    <xf numFmtId="60" fontId="0" fillId="16" borderId="1" applyNumberFormat="1" applyFont="1" applyFill="1" applyBorder="1" applyAlignment="1" applyProtection="0">
      <alignment horizontal="left" vertical="center" wrapText="1"/>
    </xf>
    <xf numFmtId="49" fontId="8" fillId="17" borderId="1" applyNumberFormat="1" applyFont="1" applyFill="1" applyBorder="1" applyAlignment="1" applyProtection="0">
      <alignment horizontal="left" vertical="center" wrapText="1"/>
    </xf>
    <xf numFmtId="49" fontId="0" fillId="17" borderId="1" applyNumberFormat="1" applyFont="1" applyFill="1" applyBorder="1" applyAlignment="1" applyProtection="0">
      <alignment horizontal="left" vertical="center"/>
    </xf>
    <xf numFmtId="49" fontId="0" fillId="7" borderId="1" applyNumberFormat="1" applyFont="1" applyFill="1" applyBorder="1" applyAlignment="1" applyProtection="0">
      <alignment horizontal="left" vertical="center"/>
    </xf>
    <xf numFmtId="49" fontId="7" fillId="16" borderId="1" applyNumberFormat="1" applyFont="1" applyFill="1" applyBorder="1" applyAlignment="1" applyProtection="0">
      <alignment horizontal="left" vertical="center" wrapText="1"/>
    </xf>
    <xf numFmtId="0" fontId="0" fillId="7" borderId="1" applyNumberFormat="0" applyFont="1" applyFill="1" applyBorder="1" applyAlignment="1" applyProtection="0">
      <alignment horizontal="left" vertical="center"/>
    </xf>
    <xf numFmtId="0" fontId="0" fillId="13" borderId="1" applyNumberFormat="0" applyFont="1" applyFill="1" applyBorder="1" applyAlignment="1" applyProtection="0">
      <alignment horizontal="left" vertical="center"/>
    </xf>
    <xf numFmtId="0" fontId="0" fillId="7" borderId="1" applyNumberFormat="1" applyFont="1" applyFill="1" applyBorder="1" applyAlignment="1" applyProtection="0">
      <alignment horizontal="left" vertical="center"/>
    </xf>
    <xf numFmtId="0" fontId="0" fillId="7" borderId="1" applyNumberFormat="0" applyFont="1" applyFill="1" applyBorder="1" applyAlignment="1" applyProtection="0">
      <alignment vertical="bottom"/>
    </xf>
    <xf numFmtId="0" fontId="0" borderId="1" applyNumberFormat="0" applyFont="1" applyFill="0" applyBorder="1" applyAlignment="1" applyProtection="0">
      <alignment vertical="bottom"/>
    </xf>
    <xf numFmtId="0" fontId="0" fillId="13" borderId="1" applyNumberFormat="0" applyFont="1" applyFill="1" applyBorder="1" applyAlignment="1" applyProtection="0">
      <alignment vertical="bottom"/>
    </xf>
    <xf numFmtId="49" fontId="9" fillId="7" borderId="1" applyNumberFormat="1" applyFont="1" applyFill="1" applyBorder="1" applyAlignment="1" applyProtection="0">
      <alignment vertical="center" wrapText="1"/>
    </xf>
    <xf numFmtId="49" fontId="5" fillId="15" borderId="1" applyNumberFormat="1" applyFont="1" applyFill="1" applyBorder="1" applyAlignment="1" applyProtection="0">
      <alignment vertical="center" wrapText="1"/>
    </xf>
    <xf numFmtId="0" fontId="0" fillId="7" borderId="1" applyNumberFormat="1" applyFont="1" applyFill="1" applyBorder="1" applyAlignment="1" applyProtection="0">
      <alignment vertical="center" wrapText="1"/>
    </xf>
    <xf numFmtId="49" fontId="0" fillId="16" borderId="1" applyNumberFormat="1" applyFont="1" applyFill="1" applyBorder="1" applyAlignment="1" applyProtection="0">
      <alignment vertical="center" wrapText="1"/>
    </xf>
    <xf numFmtId="60" fontId="0" fillId="16" borderId="1" applyNumberFormat="1" applyFont="1" applyFill="1" applyBorder="1" applyAlignment="1" applyProtection="0">
      <alignment vertical="center" wrapText="1"/>
    </xf>
    <xf numFmtId="2" fontId="0" fillId="16" borderId="1" applyNumberFormat="1" applyFont="1" applyFill="1" applyBorder="1" applyAlignment="1" applyProtection="0">
      <alignment vertical="center" wrapText="1"/>
    </xf>
    <xf numFmtId="0" fontId="0" fillId="17" borderId="1" applyNumberFormat="1" applyFont="1" applyFill="1" applyBorder="1" applyAlignment="1" applyProtection="0">
      <alignment vertical="center" wrapText="1"/>
    </xf>
    <xf numFmtId="2" fontId="0" fillId="17" borderId="1" applyNumberFormat="1" applyFont="1" applyFill="1" applyBorder="1" applyAlignment="1" applyProtection="0">
      <alignment vertical="center" wrapText="1"/>
    </xf>
    <xf numFmtId="9" fontId="0" fillId="17" borderId="1" applyNumberFormat="1" applyFont="1" applyFill="1" applyBorder="1" applyAlignment="1" applyProtection="0">
      <alignment vertical="center" wrapText="1"/>
    </xf>
    <xf numFmtId="59" fontId="0" fillId="17" borderId="1" applyNumberFormat="1" applyFont="1" applyFill="1" applyBorder="1" applyAlignment="1" applyProtection="0">
      <alignment vertical="center"/>
    </xf>
    <xf numFmtId="2" fontId="0" fillId="18" borderId="1" applyNumberFormat="1" applyFont="1" applyFill="1" applyBorder="1" applyAlignment="1" applyProtection="0">
      <alignment vertical="center"/>
    </xf>
    <xf numFmtId="0" fontId="0" fillId="13" borderId="1" applyNumberFormat="0" applyFont="1" applyFill="1" applyBorder="1" applyAlignment="1" applyProtection="0">
      <alignment vertical="center" wrapText="1"/>
    </xf>
    <xf numFmtId="0" fontId="0" fillId="16" borderId="1" applyNumberFormat="1" applyFont="1" applyFill="1" applyBorder="1" applyAlignment="1" applyProtection="0">
      <alignment vertical="center" wrapText="1"/>
    </xf>
    <xf numFmtId="49" fontId="7" fillId="17" borderId="1" applyNumberFormat="1" applyFont="1" applyFill="1" applyBorder="1" applyAlignment="1" applyProtection="0">
      <alignment horizontal="left" vertical="center" wrapText="1"/>
    </xf>
    <xf numFmtId="0" fontId="0" fillId="17" borderId="1" applyNumberFormat="1" applyFont="1" applyFill="1" applyBorder="1" applyAlignment="1" applyProtection="0">
      <alignment horizontal="left" vertical="center"/>
    </xf>
    <xf numFmtId="49" fontId="0" borderId="1" applyNumberFormat="1" applyFont="1" applyFill="0" applyBorder="1" applyAlignment="1" applyProtection="0">
      <alignment vertical="bottom"/>
    </xf>
    <xf numFmtId="0" fontId="0" borderId="1" applyNumberFormat="1" applyFont="1" applyFill="0" applyBorder="1" applyAlignment="1" applyProtection="0">
      <alignment vertical="bottom"/>
    </xf>
    <xf numFmtId="49" fontId="0" fillId="7" borderId="1" applyNumberFormat="1" applyFont="1" applyFill="1" applyBorder="1" applyAlignment="1" applyProtection="0">
      <alignment vertical="bottom"/>
    </xf>
    <xf numFmtId="0" fontId="0" fillId="17" borderId="1" applyNumberFormat="1" applyFont="1" applyFill="1" applyBorder="1" applyAlignment="1" applyProtection="0">
      <alignment vertical="center"/>
    </xf>
    <xf numFmtId="59" fontId="0" fillId="17" borderId="1" applyNumberFormat="1" applyFont="1" applyFill="1" applyBorder="1" applyAlignment="1" applyProtection="0">
      <alignment vertical="center" wrapText="1"/>
    </xf>
    <xf numFmtId="0" fontId="0" fillId="17" borderId="1" applyNumberFormat="0" applyFont="1" applyFill="1" applyBorder="1" applyAlignment="1" applyProtection="0">
      <alignment vertical="center"/>
    </xf>
    <xf numFmtId="0" fontId="0" fillId="17" borderId="1" applyNumberFormat="0" applyFont="1" applyFill="1" applyBorder="1" applyAlignment="1" applyProtection="0">
      <alignment vertical="center" wrapText="1"/>
    </xf>
    <xf numFmtId="0" fontId="0" applyNumberFormat="1" applyFont="1" applyFill="0" applyBorder="0" applyAlignment="1" applyProtection="0">
      <alignment vertical="bottom"/>
    </xf>
    <xf numFmtId="49" fontId="5" borderId="16" applyNumberFormat="1" applyFont="1" applyFill="0" applyBorder="1" applyAlignment="1" applyProtection="0">
      <alignment horizontal="center" vertical="center"/>
    </xf>
    <xf numFmtId="49" fontId="0" fillId="7" borderId="17" applyNumberFormat="1" applyFont="1" applyFill="1" applyBorder="1" applyAlignment="1" applyProtection="0">
      <alignment vertical="center" wrapText="1"/>
    </xf>
    <xf numFmtId="49" fontId="0" fillId="7" borderId="18" applyNumberFormat="1" applyFont="1" applyFill="1" applyBorder="1" applyAlignment="1" applyProtection="0">
      <alignment vertical="center" wrapText="1"/>
    </xf>
    <xf numFmtId="49" fontId="0" fillId="7" borderId="19" applyNumberFormat="1" applyFont="1" applyFill="1" applyBorder="1" applyAlignment="1" applyProtection="0">
      <alignment vertical="center" wrapText="1"/>
    </xf>
    <xf numFmtId="0" fontId="0" fillId="7" borderId="20" applyNumberFormat="0" applyFont="1" applyFill="1" applyBorder="1" applyAlignment="1" applyProtection="0">
      <alignment vertical="center"/>
    </xf>
    <xf numFmtId="49" fontId="0" fillId="7" borderId="21" applyNumberFormat="1" applyFont="1" applyFill="1" applyBorder="1" applyAlignment="1" applyProtection="0">
      <alignment horizontal="left" vertical="center"/>
    </xf>
    <xf numFmtId="49" fontId="0" fillId="7" borderId="22" applyNumberFormat="1" applyFont="1" applyFill="1" applyBorder="1" applyAlignment="1" applyProtection="0">
      <alignment vertical="center"/>
    </xf>
    <xf numFmtId="49" fontId="0" fillId="7" borderId="23" applyNumberFormat="1" applyFont="1" applyFill="1" applyBorder="1" applyAlignment="1" applyProtection="0">
      <alignment horizontal="center" vertical="center"/>
    </xf>
    <xf numFmtId="0" fontId="0" fillId="7" borderId="24" applyNumberFormat="0" applyFont="1" applyFill="1" applyBorder="1" applyAlignment="1" applyProtection="0">
      <alignment vertical="center"/>
    </xf>
    <xf numFmtId="49" fontId="0" fillId="7" borderId="20" applyNumberFormat="1" applyFont="1" applyFill="1" applyBorder="1" applyAlignment="1" applyProtection="0">
      <alignment horizontal="left" vertical="center"/>
    </xf>
    <xf numFmtId="49" fontId="0" fillId="7" borderId="25" applyNumberFormat="1" applyFont="1" applyFill="1" applyBorder="1" applyAlignment="1" applyProtection="0">
      <alignment vertical="center"/>
    </xf>
    <xf numFmtId="0" fontId="0" fillId="7" borderId="1" applyNumberFormat="0" applyFont="1" applyFill="1" applyBorder="1" applyAlignment="1" applyProtection="0">
      <alignment horizontal="center" vertical="center"/>
    </xf>
    <xf numFmtId="49" fontId="0" fillId="7" borderId="26" applyNumberFormat="1" applyFont="1" applyFill="1" applyBorder="1" applyAlignment="1" applyProtection="0">
      <alignment vertical="center"/>
    </xf>
    <xf numFmtId="49" fontId="0" fillId="7" borderId="20" applyNumberFormat="1" applyFont="1" applyFill="1" applyBorder="1" applyAlignment="1" applyProtection="0">
      <alignment vertical="center"/>
    </xf>
    <xf numFmtId="0" fontId="0" fillId="7" borderId="26" applyNumberFormat="0" applyFont="1" applyFill="1" applyBorder="1" applyAlignment="1" applyProtection="0">
      <alignment vertical="center"/>
    </xf>
    <xf numFmtId="49" fontId="0" fillId="7" borderId="27" applyNumberFormat="1" applyFont="1" applyFill="1" applyBorder="1" applyAlignment="1" applyProtection="0">
      <alignment horizontal="left" vertical="center"/>
    </xf>
    <xf numFmtId="49" fontId="0" fillId="7" borderId="28" applyNumberFormat="1" applyFont="1" applyFill="1" applyBorder="1" applyAlignment="1" applyProtection="0">
      <alignment vertical="center"/>
    </xf>
    <xf numFmtId="49" fontId="0" fillId="7" borderId="29" applyNumberFormat="1" applyFont="1" applyFill="1" applyBorder="1" applyAlignment="1" applyProtection="0">
      <alignment horizontal="center" vertical="center"/>
    </xf>
    <xf numFmtId="49" fontId="0" fillId="7" borderId="30" applyNumberFormat="1" applyFont="1" applyFill="1" applyBorder="1" applyAlignment="1" applyProtection="0">
      <alignment vertical="center"/>
    </xf>
    <xf numFmtId="49" fontId="5" fillId="7" borderId="16" applyNumberFormat="1" applyFont="1" applyFill="1" applyBorder="1" applyAlignment="1" applyProtection="0">
      <alignment horizontal="left" vertical="center"/>
    </xf>
    <xf numFmtId="0" fontId="0" fillId="7" borderId="17" applyNumberFormat="1" applyFont="1" applyFill="1" applyBorder="1" applyAlignment="1" applyProtection="0">
      <alignment vertical="center"/>
    </xf>
    <xf numFmtId="0" fontId="0" fillId="7" borderId="18" applyNumberFormat="1" applyFont="1" applyFill="1" applyBorder="1" applyAlignment="1" applyProtection="0">
      <alignment vertical="center"/>
    </xf>
    <xf numFmtId="0" fontId="0" fillId="7" borderId="19" applyNumberFormat="1" applyFont="1" applyFill="1" applyBorder="1" applyAlignment="1" applyProtection="0">
      <alignment vertical="center"/>
    </xf>
    <xf numFmtId="0" fontId="0" applyNumberFormat="1" applyFont="1" applyFill="0" applyBorder="0" applyAlignment="1" applyProtection="0">
      <alignment vertical="bottom"/>
    </xf>
    <xf numFmtId="49" fontId="5" fillId="7" borderId="31" applyNumberFormat="1" applyFont="1" applyFill="1" applyBorder="1" applyAlignment="1" applyProtection="0">
      <alignment horizontal="center" vertical="center" wrapText="1"/>
    </xf>
    <xf numFmtId="0" fontId="0" fillId="7" borderId="32" applyNumberFormat="0" applyFont="1" applyFill="1" applyBorder="1" applyAlignment="1" applyProtection="0">
      <alignment vertical="bottom"/>
    </xf>
    <xf numFmtId="0" fontId="10" fillId="7" borderId="32" applyNumberFormat="0" applyFont="1" applyFill="1" applyBorder="1" applyAlignment="1" applyProtection="0">
      <alignment horizontal="center" vertical="center" wrapText="1"/>
    </xf>
    <xf numFmtId="0" fontId="0" fillId="7" borderId="33" applyNumberFormat="0" applyFont="1" applyFill="1" applyBorder="1" applyAlignment="1" applyProtection="0">
      <alignment vertical="bottom"/>
    </xf>
    <xf numFmtId="61" fontId="0" fillId="7" borderId="34" applyNumberFormat="1" applyFont="1" applyFill="1" applyBorder="1" applyAlignment="1" applyProtection="0">
      <alignment horizontal="center" vertical="center"/>
    </xf>
    <xf numFmtId="0" fontId="0" fillId="7" borderId="35" applyNumberFormat="0" applyFont="1" applyFill="1" applyBorder="1" applyAlignment="1" applyProtection="0">
      <alignment vertical="bottom"/>
    </xf>
    <xf numFmtId="0" fontId="0" fillId="7" borderId="35" applyNumberFormat="0" applyFont="1" applyFill="1" applyBorder="1" applyAlignment="1" applyProtection="0">
      <alignment horizontal="left" vertical="bottom"/>
    </xf>
    <xf numFmtId="0" fontId="0" fillId="7" borderId="36" applyNumberFormat="0" applyFont="1" applyFill="1" applyBorder="1" applyAlignment="1" applyProtection="0">
      <alignment vertical="bottom"/>
    </xf>
    <xf numFmtId="0" fontId="0" fillId="7" borderId="34" applyNumberFormat="1" applyFont="1" applyFill="1" applyBorder="1" applyAlignment="1" applyProtection="0">
      <alignment horizontal="center" vertical="center"/>
    </xf>
    <xf numFmtId="0" fontId="0" fillId="7" borderId="37" applyNumberFormat="1" applyFont="1" applyFill="1" applyBorder="1" applyAlignment="1" applyProtection="0">
      <alignment horizontal="center" vertical="center"/>
    </xf>
    <xf numFmtId="0" fontId="0" fillId="7" borderId="38" applyNumberFormat="0" applyFont="1" applyFill="1" applyBorder="1" applyAlignment="1" applyProtection="0">
      <alignment vertical="bottom"/>
    </xf>
    <xf numFmtId="0" fontId="0" fillId="7" borderId="39" applyNumberFormat="0" applyFont="1" applyFill="1" applyBorder="1" applyAlignment="1" applyProtection="0">
      <alignment vertical="bottom"/>
    </xf>
    <xf numFmtId="49" fontId="5" fillId="19" borderId="40" applyNumberFormat="1" applyFont="1" applyFill="1" applyBorder="1" applyAlignment="1" applyProtection="0">
      <alignment horizontal="center" vertical="center"/>
    </xf>
    <xf numFmtId="49" fontId="5" fillId="19" borderId="41" applyNumberFormat="1" applyFont="1" applyFill="1" applyBorder="1" applyAlignment="1" applyProtection="0">
      <alignment horizontal="center" vertical="center"/>
    </xf>
    <xf numFmtId="49" fontId="5" fillId="19" borderId="42" applyNumberFormat="1" applyFont="1" applyFill="1" applyBorder="1" applyAlignment="1" applyProtection="0">
      <alignment horizontal="center" vertical="center" wrapText="1"/>
    </xf>
    <xf numFmtId="49" fontId="5" fillId="19" borderId="22" applyNumberFormat="1" applyFont="1" applyFill="1" applyBorder="1" applyAlignment="1" applyProtection="0">
      <alignment horizontal="center" vertical="center" wrapText="1"/>
    </xf>
    <xf numFmtId="0" fontId="0" fillId="7" borderId="24" applyNumberFormat="0" applyFont="1" applyFill="1" applyBorder="1" applyAlignment="1" applyProtection="0">
      <alignment vertical="bottom"/>
    </xf>
    <xf numFmtId="0" fontId="11" fillId="20" borderId="43" applyNumberFormat="0" applyFont="1" applyFill="1" applyBorder="1" applyAlignment="1" applyProtection="0">
      <alignment horizontal="center" vertical="center"/>
    </xf>
    <xf numFmtId="0" fontId="11" fillId="20" borderId="44" applyNumberFormat="0" applyFont="1" applyFill="1" applyBorder="1" applyAlignment="1" applyProtection="0">
      <alignment horizontal="center" vertical="center"/>
    </xf>
    <xf numFmtId="0" fontId="11" fillId="20" borderId="45" applyNumberFormat="0" applyFont="1" applyFill="1" applyBorder="1" applyAlignment="1" applyProtection="0">
      <alignment horizontal="center" vertical="center"/>
    </xf>
    <xf numFmtId="49" fontId="5" fillId="19" borderId="25" applyNumberFormat="1" applyFont="1" applyFill="1" applyBorder="1" applyAlignment="1" applyProtection="0">
      <alignment horizontal="center" vertical="center" wrapText="1"/>
    </xf>
    <xf numFmtId="49" fontId="5" fillId="19" borderId="26" applyNumberFormat="1" applyFont="1" applyFill="1" applyBorder="1" applyAlignment="1" applyProtection="0">
      <alignment horizontal="center" vertical="center" wrapText="1"/>
    </xf>
    <xf numFmtId="49" fontId="5" fillId="19" borderId="25" applyNumberFormat="1" applyFont="1" applyFill="1" applyBorder="1" applyAlignment="1" applyProtection="0">
      <alignment vertical="center"/>
    </xf>
    <xf numFmtId="61" fontId="0" fillId="7" borderId="1" applyNumberFormat="1" applyFont="1" applyFill="1" applyBorder="1" applyAlignment="1" applyProtection="0">
      <alignment horizontal="center" vertical="center"/>
    </xf>
    <xf numFmtId="61" fontId="0" fillId="7" borderId="1" applyNumberFormat="1" applyFont="1" applyFill="1" applyBorder="1" applyAlignment="1" applyProtection="0">
      <alignment horizontal="center" vertical="center" wrapText="1"/>
    </xf>
    <xf numFmtId="61" fontId="0" fillId="7" borderId="26" applyNumberFormat="1" applyFont="1" applyFill="1" applyBorder="1" applyAlignment="1" applyProtection="0">
      <alignment horizontal="center" vertical="center" wrapText="1"/>
    </xf>
    <xf numFmtId="61" fontId="0" fillId="7" borderId="25" applyNumberFormat="1" applyFont="1" applyFill="1" applyBorder="1" applyAlignment="1" applyProtection="0">
      <alignment horizontal="center" vertical="center"/>
    </xf>
    <xf numFmtId="61" fontId="0" fillId="7" borderId="26" applyNumberFormat="1" applyFont="1" applyFill="1" applyBorder="1" applyAlignment="1" applyProtection="0">
      <alignment horizontal="center" vertical="center"/>
    </xf>
    <xf numFmtId="0" fontId="0" fillId="7" borderId="26" applyNumberFormat="1" applyFont="1" applyFill="1" applyBorder="1" applyAlignment="1" applyProtection="0">
      <alignment horizontal="center" vertical="center" wrapText="1"/>
    </xf>
    <xf numFmtId="0" fontId="0" fillId="7" borderId="26" applyNumberFormat="1" applyFont="1" applyFill="1" applyBorder="1" applyAlignment="1" applyProtection="0">
      <alignment horizontal="center" vertical="center"/>
    </xf>
    <xf numFmtId="49" fontId="5" fillId="19" borderId="28" applyNumberFormat="1" applyFont="1" applyFill="1" applyBorder="1" applyAlignment="1" applyProtection="0">
      <alignment vertical="center"/>
    </xf>
    <xf numFmtId="61" fontId="0" fillId="7" borderId="29" applyNumberFormat="1" applyFont="1" applyFill="1" applyBorder="1" applyAlignment="1" applyProtection="0">
      <alignment horizontal="center" vertical="center"/>
    </xf>
    <xf numFmtId="61" fontId="0" fillId="7" borderId="29" applyNumberFormat="1" applyFont="1" applyFill="1" applyBorder="1" applyAlignment="1" applyProtection="0">
      <alignment horizontal="center" vertical="center" wrapText="1"/>
    </xf>
    <xf numFmtId="61" fontId="0" fillId="7" borderId="30" applyNumberFormat="1" applyFont="1" applyFill="1" applyBorder="1" applyAlignment="1" applyProtection="0">
      <alignment horizontal="center" vertical="center"/>
    </xf>
    <xf numFmtId="61" fontId="0" fillId="7" borderId="28" applyNumberFormat="1" applyFont="1" applyFill="1" applyBorder="1" applyAlignment="1" applyProtection="0">
      <alignment horizontal="center" vertical="center"/>
    </xf>
  </cellXfs>
  <cellStyles count="1">
    <cellStyle name="Normal" xfId="0" builtinId="0"/>
  </cellStyles>
  <dxfs count="13">
    <dxf>
      <font>
        <color rgb="ff006100"/>
      </font>
      <fill>
        <patternFill patternType="solid">
          <fgColor indexed="12"/>
          <bgColor indexed="13"/>
        </patternFill>
      </fill>
    </dxf>
    <dxf>
      <font>
        <color rgb="ff9c0006"/>
      </font>
      <fill>
        <patternFill patternType="solid">
          <fgColor indexed="12"/>
          <bgColor indexed="15"/>
        </patternFill>
      </fill>
    </dxf>
    <dxf>
      <font>
        <color rgb="ff006100"/>
      </font>
      <fill>
        <patternFill patternType="solid">
          <fgColor indexed="12"/>
          <bgColor indexed="13"/>
        </patternFill>
      </fill>
    </dxf>
    <dxf>
      <font>
        <color rgb="ff9c0006"/>
      </font>
      <fill>
        <patternFill patternType="solid">
          <fgColor indexed="12"/>
          <bgColor indexed="15"/>
        </patternFill>
      </fill>
    </dxf>
    <dxf>
      <font>
        <color rgb="ffe32400"/>
      </font>
    </dxf>
    <dxf>
      <font>
        <color rgb="ffe32400"/>
      </font>
    </dxf>
    <dxf>
      <font>
        <color rgb="ffe32400"/>
      </font>
    </dxf>
    <dxf>
      <font>
        <color rgb="ffe32400"/>
      </font>
    </dxf>
    <dxf>
      <font>
        <color rgb="ff006100"/>
      </font>
      <fill>
        <patternFill patternType="solid">
          <fgColor indexed="12"/>
          <bgColor indexed="33"/>
        </patternFill>
      </fill>
    </dxf>
    <dxf>
      <font>
        <color rgb="ff9c0006"/>
      </font>
      <fill>
        <patternFill patternType="solid">
          <fgColor indexed="12"/>
          <bgColor indexed="15"/>
        </patternFill>
      </fill>
    </dxf>
    <dxf>
      <fill>
        <patternFill patternType="solid">
          <fgColor indexed="12"/>
          <bgColor indexed="28"/>
        </patternFill>
      </fill>
    </dxf>
    <dxf>
      <fill>
        <patternFill patternType="solid">
          <fgColor indexed="12"/>
          <bgColor indexed="28"/>
        </patternFill>
      </fill>
    </dxf>
    <dxf>
      <fill>
        <patternFill patternType="solid">
          <fgColor indexed="12"/>
          <bgColor indexed="28"/>
        </patternFill>
      </fill>
    </dxf>
  </dxfs>
  <tableStyles count="0"/>
  <colors>
    <indexedColors>
      <rgbColor rgb="ff000000"/>
      <rgbColor rgb="ffffffff"/>
      <rgbColor rgb="ffff0000"/>
      <rgbColor rgb="ff00ff00"/>
      <rgbColor rgb="ff0000ff"/>
      <rgbColor rgb="ffffff00"/>
      <rgbColor rgb="ffff00ff"/>
      <rgbColor rgb="ff00ffff"/>
      <rgbColor rgb="ff000000"/>
      <rgbColor rgb="ffffffff"/>
      <rgbColor rgb="ff4472c4"/>
      <rgbColor rgb="ffed7d31"/>
      <rgbColor rgb="00000000"/>
      <rgbColor rgb="ffc6efce"/>
      <rgbColor rgb="ff006100"/>
      <rgbColor rgb="ffffc7ce"/>
      <rgbColor rgb="ff9c0006"/>
      <rgbColor rgb="ff70ad47"/>
      <rgbColor rgb="ffffc000"/>
      <rgbColor rgb="ff5b9bd5"/>
      <rgbColor rgb="ffaaaaaa"/>
      <rgbColor rgb="ffbdc0bf"/>
      <rgbColor rgb="ffdeeaf6"/>
      <rgbColor rgb="ffdbdbdb"/>
      <rgbColor rgb="ff92d050"/>
      <rgbColor rgb="ffe32400"/>
      <rgbColor rgb="ff00b0f0"/>
      <rgbColor rgb="ffffff00"/>
      <rgbColor rgb="ffe7e6e6"/>
      <rgbColor rgb="ffbdd6ee"/>
      <rgbColor rgb="ffc5deb5"/>
      <rgbColor rgb="ffe2eeda"/>
      <rgbColor rgb="ffff0000"/>
      <rgbColor rgb="ffe4eedb"/>
      <rgbColor rgb="ffea3f35"/>
      <rgbColor rgb="ffe6e5e5"/>
      <rgbColor rgb="ff548135"/>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T978"/>
  <sheetViews>
    <sheetView workbookViewId="0" showGridLines="0" defaultGridColor="1">
      <pane topLeftCell="D3" xSplit="3" ySplit="2" activePane="bottomRight" state="frozen"/>
    </sheetView>
  </sheetViews>
  <sheetFormatPr defaultColWidth="9.16667" defaultRowHeight="15.4" customHeight="1" outlineLevelRow="0" outlineLevelCol="0"/>
  <cols>
    <col min="1" max="1" width="28.0234" style="1" customWidth="1"/>
    <col min="2" max="2" width="8.17188" style="1" customWidth="1"/>
    <col min="3" max="3" width="18.1094" style="1" customWidth="1"/>
    <col min="4" max="4" width="27.5" style="1" customWidth="1"/>
    <col min="5" max="5" width="44" style="1" customWidth="1"/>
    <col min="6" max="6" width="35.1719" style="1" customWidth="1"/>
    <col min="7" max="7" width="12.6719" style="1" customWidth="1"/>
    <col min="8" max="8" width="17.5" style="1" customWidth="1"/>
    <col min="9" max="9" width="15.1719" style="1" customWidth="1"/>
    <col min="10" max="10" width="38" style="1" customWidth="1"/>
    <col min="11" max="11" width="27.6719" style="1" customWidth="1"/>
    <col min="12" max="12" width="17.3516" style="1" customWidth="1"/>
    <col min="13" max="13" width="9.5" style="1" customWidth="1"/>
    <col min="14" max="14" width="26.7578" style="1" customWidth="1"/>
    <col min="15" max="15" width="24.3516" style="1" customWidth="1"/>
    <col min="16" max="16" width="25.6719" style="1" customWidth="1"/>
    <col min="17" max="17" width="29.5" style="1" customWidth="1"/>
    <col min="18" max="18" width="23.8516" style="1" customWidth="1"/>
    <col min="19" max="19" width="17.1719" style="1" customWidth="1"/>
    <col min="20" max="20" width="22.3516" style="1" customWidth="1"/>
    <col min="21" max="16384" width="9.17188" style="1" customWidth="1"/>
  </cols>
  <sheetData>
    <row r="1" ht="37.5" customHeight="1">
      <c r="A1" s="2"/>
      <c r="B1" s="2"/>
      <c r="C1" s="2"/>
      <c r="D1" t="s" s="3">
        <v>0</v>
      </c>
      <c r="E1" s="2"/>
      <c r="F1" s="2"/>
      <c r="G1" t="s" s="4">
        <v>1</v>
      </c>
      <c r="H1" s="5"/>
      <c r="I1" s="5"/>
      <c r="J1" s="5"/>
      <c r="K1" s="5"/>
      <c r="L1" t="s" s="6">
        <v>2</v>
      </c>
      <c r="M1" s="7"/>
      <c r="N1" s="7"/>
      <c r="O1" s="7"/>
      <c r="P1" t="s" s="8">
        <v>3</v>
      </c>
      <c r="Q1" t="s" s="9">
        <v>4</v>
      </c>
      <c r="R1" s="10"/>
      <c r="S1" s="10"/>
      <c r="T1" s="11"/>
    </row>
    <row r="2" ht="60" customHeight="1">
      <c r="A2" t="s" s="12">
        <v>5</v>
      </c>
      <c r="B2" t="s" s="13">
        <v>6</v>
      </c>
      <c r="C2" t="s" s="13">
        <v>7</v>
      </c>
      <c r="D2" t="s" s="13">
        <v>8</v>
      </c>
      <c r="E2" t="s" s="13">
        <v>9</v>
      </c>
      <c r="F2" t="s" s="13">
        <v>10</v>
      </c>
      <c r="G2" t="s" s="12">
        <v>11</v>
      </c>
      <c r="H2" t="s" s="12">
        <v>12</v>
      </c>
      <c r="I2" t="s" s="12">
        <v>13</v>
      </c>
      <c r="J2" t="s" s="13">
        <v>14</v>
      </c>
      <c r="K2" t="s" s="12">
        <v>15</v>
      </c>
      <c r="L2" t="s" s="12">
        <v>16</v>
      </c>
      <c r="M2" t="s" s="12">
        <v>17</v>
      </c>
      <c r="N2" t="s" s="12">
        <v>14</v>
      </c>
      <c r="O2" t="s" s="12">
        <v>18</v>
      </c>
      <c r="P2" t="s" s="12">
        <v>19</v>
      </c>
      <c r="Q2" t="s" s="14">
        <v>20</v>
      </c>
      <c r="R2" t="s" s="14">
        <v>18</v>
      </c>
      <c r="S2" t="s" s="12">
        <v>21</v>
      </c>
      <c r="T2" t="s" s="12">
        <v>18</v>
      </c>
    </row>
    <row r="3" ht="39.55" customHeight="1">
      <c r="A3" t="s" s="15">
        <v>22</v>
      </c>
      <c r="B3" s="16">
        <v>2008</v>
      </c>
      <c r="C3" t="s" s="15">
        <v>23</v>
      </c>
      <c r="D3" t="s" s="17">
        <v>24</v>
      </c>
      <c r="E3" s="18"/>
      <c r="F3" s="18"/>
      <c r="G3" s="19">
        <v>3</v>
      </c>
      <c r="H3" t="s" s="20">
        <v>25</v>
      </c>
      <c r="I3" t="s" s="17">
        <v>26</v>
      </c>
      <c r="J3" t="s" s="17">
        <v>27</v>
      </c>
      <c r="K3" s="18"/>
      <c r="L3" s="18"/>
      <c r="M3" s="18"/>
      <c r="N3" s="18"/>
      <c r="O3" s="21"/>
      <c r="P3" s="21"/>
      <c r="Q3" s="21"/>
      <c r="R3" s="21"/>
      <c r="S3" s="21"/>
      <c r="T3" s="21"/>
    </row>
    <row r="4" ht="13.55" customHeight="1">
      <c r="A4" t="s" s="15">
        <v>28</v>
      </c>
      <c r="B4" s="16">
        <v>2010</v>
      </c>
      <c r="C4" t="s" s="15">
        <v>23</v>
      </c>
      <c r="D4" t="s" s="17">
        <v>29</v>
      </c>
      <c r="E4" t="s" s="17">
        <v>30</v>
      </c>
      <c r="F4" s="18"/>
      <c r="G4" s="19">
        <v>3</v>
      </c>
      <c r="H4" t="s" s="20">
        <v>25</v>
      </c>
      <c r="I4" t="s" s="17">
        <v>26</v>
      </c>
      <c r="J4" t="s" s="17">
        <v>31</v>
      </c>
      <c r="K4" t="s" s="17">
        <v>32</v>
      </c>
      <c r="L4" s="18"/>
      <c r="M4" s="18"/>
      <c r="N4" s="18"/>
      <c r="O4" s="21"/>
      <c r="P4" s="21"/>
      <c r="Q4" s="21"/>
      <c r="R4" s="21"/>
      <c r="S4" s="21"/>
      <c r="T4" s="21"/>
    </row>
    <row r="5" ht="30" customHeight="1">
      <c r="A5" t="s" s="15">
        <v>33</v>
      </c>
      <c r="B5" s="16">
        <v>2015</v>
      </c>
      <c r="C5" t="s" s="15">
        <v>23</v>
      </c>
      <c r="D5" t="s" s="17">
        <v>34</v>
      </c>
      <c r="E5" t="s" s="17">
        <v>35</v>
      </c>
      <c r="F5" s="18"/>
      <c r="G5" s="19">
        <v>3</v>
      </c>
      <c r="H5" t="s" s="20">
        <v>25</v>
      </c>
      <c r="I5" t="s" s="17">
        <v>26</v>
      </c>
      <c r="J5" t="s" s="17">
        <v>31</v>
      </c>
      <c r="K5" t="s" s="17">
        <v>32</v>
      </c>
      <c r="L5" s="18"/>
      <c r="M5" s="18"/>
      <c r="N5" s="18"/>
      <c r="O5" s="21"/>
      <c r="P5" s="21"/>
      <c r="Q5" s="21"/>
      <c r="R5" s="21"/>
      <c r="S5" s="21"/>
      <c r="T5" s="21"/>
    </row>
    <row r="6" ht="39.55" customHeight="1">
      <c r="A6" t="s" s="15">
        <v>36</v>
      </c>
      <c r="B6" s="16">
        <v>2022</v>
      </c>
      <c r="C6" t="s" s="15">
        <v>23</v>
      </c>
      <c r="D6" t="s" s="17">
        <v>37</v>
      </c>
      <c r="E6" s="18"/>
      <c r="F6" s="18"/>
      <c r="G6" s="19">
        <v>2</v>
      </c>
      <c r="H6" t="s" s="20">
        <v>25</v>
      </c>
      <c r="I6" t="s" s="17">
        <v>26</v>
      </c>
      <c r="J6" t="s" s="17">
        <v>38</v>
      </c>
      <c r="K6" s="18"/>
      <c r="L6" s="18"/>
      <c r="M6" s="18"/>
      <c r="N6" s="18"/>
      <c r="O6" s="21"/>
      <c r="P6" s="21"/>
      <c r="Q6" s="21"/>
      <c r="R6" s="21"/>
      <c r="S6" s="21"/>
      <c r="T6" s="21"/>
    </row>
    <row r="7" ht="30" customHeight="1">
      <c r="A7" t="s" s="15">
        <v>39</v>
      </c>
      <c r="B7" s="16">
        <v>2012</v>
      </c>
      <c r="C7" t="s" s="15">
        <v>40</v>
      </c>
      <c r="D7" t="s" s="17">
        <v>41</v>
      </c>
      <c r="E7" s="18"/>
      <c r="F7" s="18"/>
      <c r="G7" s="19">
        <v>2</v>
      </c>
      <c r="H7" t="s" s="20">
        <v>25</v>
      </c>
      <c r="I7" t="s" s="17">
        <v>42</v>
      </c>
      <c r="J7" s="18"/>
      <c r="K7" t="s" s="17">
        <v>43</v>
      </c>
      <c r="L7" t="s" s="17">
        <v>26</v>
      </c>
      <c r="M7" t="s" s="17">
        <v>44</v>
      </c>
      <c r="N7" t="s" s="17">
        <v>45</v>
      </c>
      <c r="O7" s="21"/>
      <c r="P7" t="s" s="20">
        <v>46</v>
      </c>
      <c r="Q7" t="s" s="20">
        <v>47</v>
      </c>
      <c r="R7" s="21"/>
      <c r="S7" t="s" s="20">
        <v>47</v>
      </c>
      <c r="T7" s="21"/>
    </row>
    <row r="8" ht="30" customHeight="1">
      <c r="A8" t="s" s="15">
        <v>48</v>
      </c>
      <c r="B8" s="16">
        <v>2023</v>
      </c>
      <c r="C8" t="s" s="15">
        <v>49</v>
      </c>
      <c r="D8" t="s" s="17">
        <v>50</v>
      </c>
      <c r="E8" t="s" s="17">
        <v>51</v>
      </c>
      <c r="F8" s="18"/>
      <c r="G8" s="19">
        <v>3</v>
      </c>
      <c r="H8" t="s" s="20">
        <v>46</v>
      </c>
      <c r="I8" t="s" s="17">
        <v>26</v>
      </c>
      <c r="J8" t="s" s="17">
        <v>52</v>
      </c>
      <c r="K8" s="18"/>
      <c r="L8" s="18"/>
      <c r="M8" s="18"/>
      <c r="N8" s="18"/>
      <c r="O8" s="21"/>
      <c r="P8" s="21"/>
      <c r="Q8" s="21"/>
      <c r="R8" s="21"/>
      <c r="S8" s="21"/>
      <c r="T8" s="21"/>
    </row>
    <row r="9" ht="30" customHeight="1">
      <c r="A9" t="s" s="15">
        <v>53</v>
      </c>
      <c r="B9" s="16">
        <v>2022</v>
      </c>
      <c r="C9" t="s" s="15">
        <v>54</v>
      </c>
      <c r="D9" t="s" s="17">
        <v>55</v>
      </c>
      <c r="E9" t="s" s="17">
        <v>56</v>
      </c>
      <c r="F9" s="18"/>
      <c r="G9" s="19">
        <v>2</v>
      </c>
      <c r="H9" t="s" s="20">
        <v>25</v>
      </c>
      <c r="I9" t="s" s="17">
        <v>26</v>
      </c>
      <c r="J9" t="s" s="17">
        <v>27</v>
      </c>
      <c r="K9" s="18"/>
      <c r="L9" s="18"/>
      <c r="M9" s="18"/>
      <c r="N9" s="18"/>
      <c r="O9" s="21"/>
      <c r="P9" s="21"/>
      <c r="Q9" s="21"/>
      <c r="R9" s="21"/>
      <c r="S9" s="21"/>
      <c r="T9" s="21"/>
    </row>
    <row r="10" ht="30" customHeight="1">
      <c r="A10" t="s" s="15">
        <v>57</v>
      </c>
      <c r="B10" s="16">
        <v>2023</v>
      </c>
      <c r="C10" t="s" s="15">
        <v>58</v>
      </c>
      <c r="D10" t="s" s="17">
        <v>59</v>
      </c>
      <c r="E10" t="s" s="17">
        <v>60</v>
      </c>
      <c r="F10" s="18"/>
      <c r="G10" s="19">
        <v>2</v>
      </c>
      <c r="H10" t="s" s="20">
        <v>25</v>
      </c>
      <c r="I10" t="s" s="17">
        <v>26</v>
      </c>
      <c r="J10" t="s" s="17">
        <v>61</v>
      </c>
      <c r="K10" s="18"/>
      <c r="L10" s="18"/>
      <c r="M10" s="18"/>
      <c r="N10" s="18"/>
      <c r="O10" s="21"/>
      <c r="P10" s="21"/>
      <c r="Q10" s="21"/>
      <c r="R10" s="21"/>
      <c r="S10" s="21"/>
      <c r="T10" s="21"/>
    </row>
    <row r="11" ht="39.55" customHeight="1">
      <c r="A11" t="s" s="15">
        <v>62</v>
      </c>
      <c r="B11" s="16">
        <v>2007</v>
      </c>
      <c r="C11" t="s" s="15">
        <v>63</v>
      </c>
      <c r="D11" t="s" s="17">
        <v>64</v>
      </c>
      <c r="E11" t="s" s="17">
        <v>65</v>
      </c>
      <c r="F11" s="18"/>
      <c r="G11" s="19">
        <v>2</v>
      </c>
      <c r="H11" t="s" s="20">
        <v>25</v>
      </c>
      <c r="I11" t="s" s="17">
        <v>26</v>
      </c>
      <c r="J11" t="s" s="17">
        <v>66</v>
      </c>
      <c r="K11" s="18"/>
      <c r="L11" s="18"/>
      <c r="M11" s="18"/>
      <c r="N11" s="18"/>
      <c r="O11" s="21"/>
      <c r="P11" s="21"/>
      <c r="Q11" s="21"/>
      <c r="R11" s="21"/>
      <c r="S11" s="21"/>
      <c r="T11" s="21"/>
    </row>
    <row r="12" ht="30" customHeight="1">
      <c r="A12" t="s" s="15">
        <v>67</v>
      </c>
      <c r="B12" s="16">
        <v>2008</v>
      </c>
      <c r="C12" t="s" s="15">
        <v>63</v>
      </c>
      <c r="D12" t="s" s="17">
        <v>68</v>
      </c>
      <c r="E12" t="s" s="17">
        <v>69</v>
      </c>
      <c r="F12" s="18"/>
      <c r="G12" s="19">
        <v>2</v>
      </c>
      <c r="H12" t="s" s="20">
        <v>25</v>
      </c>
      <c r="I12" t="s" s="17">
        <v>26</v>
      </c>
      <c r="J12" t="s" s="17">
        <v>27</v>
      </c>
      <c r="K12" s="18"/>
      <c r="L12" s="18"/>
      <c r="M12" s="18"/>
      <c r="N12" s="18"/>
      <c r="O12" s="21"/>
      <c r="P12" s="21"/>
      <c r="Q12" s="21"/>
      <c r="R12" s="21"/>
      <c r="S12" s="21"/>
      <c r="T12" s="21"/>
    </row>
    <row r="13" ht="30" customHeight="1">
      <c r="A13" t="s" s="15">
        <v>70</v>
      </c>
      <c r="B13" s="16">
        <v>2009</v>
      </c>
      <c r="C13" t="s" s="15">
        <v>63</v>
      </c>
      <c r="D13" t="s" s="17">
        <v>71</v>
      </c>
      <c r="E13" t="s" s="17">
        <v>72</v>
      </c>
      <c r="F13" s="18"/>
      <c r="G13" s="19">
        <v>2</v>
      </c>
      <c r="H13" t="s" s="20">
        <v>25</v>
      </c>
      <c r="I13" t="s" s="17">
        <v>26</v>
      </c>
      <c r="J13" t="s" s="17">
        <v>27</v>
      </c>
      <c r="K13" s="18"/>
      <c r="L13" s="18"/>
      <c r="M13" s="18"/>
      <c r="N13" s="18"/>
      <c r="O13" s="21"/>
      <c r="P13" s="21"/>
      <c r="Q13" s="21"/>
      <c r="R13" s="21"/>
      <c r="S13" s="21"/>
      <c r="T13" s="21"/>
    </row>
    <row r="14" ht="30" customHeight="1">
      <c r="A14" t="s" s="15">
        <v>73</v>
      </c>
      <c r="B14" s="16">
        <v>2013</v>
      </c>
      <c r="C14" t="s" s="15">
        <v>63</v>
      </c>
      <c r="D14" t="s" s="17">
        <v>74</v>
      </c>
      <c r="E14" t="s" s="17">
        <v>75</v>
      </c>
      <c r="F14" s="18"/>
      <c r="G14" s="19">
        <v>2</v>
      </c>
      <c r="H14" t="s" s="20">
        <v>25</v>
      </c>
      <c r="I14" t="s" s="17">
        <v>26</v>
      </c>
      <c r="J14" t="s" s="17">
        <v>61</v>
      </c>
      <c r="K14" s="18"/>
      <c r="L14" s="18"/>
      <c r="M14" s="18"/>
      <c r="N14" s="18"/>
      <c r="O14" s="21"/>
      <c r="P14" s="21"/>
      <c r="Q14" s="21"/>
      <c r="R14" s="21"/>
      <c r="S14" s="21"/>
      <c r="T14" s="21"/>
    </row>
    <row r="15" ht="30" customHeight="1">
      <c r="A15" t="s" s="15">
        <v>76</v>
      </c>
      <c r="B15" s="16">
        <v>2016</v>
      </c>
      <c r="C15" t="s" s="15">
        <v>77</v>
      </c>
      <c r="D15" t="s" s="17">
        <v>78</v>
      </c>
      <c r="E15" s="18"/>
      <c r="F15" s="18"/>
      <c r="G15" s="19">
        <v>3</v>
      </c>
      <c r="H15" t="s" s="20">
        <v>46</v>
      </c>
      <c r="I15" t="s" s="17">
        <v>26</v>
      </c>
      <c r="J15" t="s" s="17">
        <v>79</v>
      </c>
      <c r="K15" t="s" s="17">
        <v>80</v>
      </c>
      <c r="L15" s="18"/>
      <c r="M15" s="18"/>
      <c r="N15" s="18"/>
      <c r="O15" s="21"/>
      <c r="P15" s="21"/>
      <c r="Q15" s="21"/>
      <c r="R15" s="21"/>
      <c r="S15" s="21"/>
      <c r="T15" s="21"/>
    </row>
    <row r="16" ht="26.55" customHeight="1">
      <c r="A16" t="s" s="15">
        <v>81</v>
      </c>
      <c r="B16" s="16">
        <v>2020</v>
      </c>
      <c r="C16" t="s" s="15">
        <v>82</v>
      </c>
      <c r="D16" t="s" s="17">
        <v>83</v>
      </c>
      <c r="E16" t="s" s="17">
        <v>84</v>
      </c>
      <c r="F16" s="18"/>
      <c r="G16" s="19">
        <v>3</v>
      </c>
      <c r="H16" t="s" s="20">
        <v>46</v>
      </c>
      <c r="I16" t="s" s="17">
        <v>26</v>
      </c>
      <c r="J16" t="s" s="17">
        <v>85</v>
      </c>
      <c r="K16" t="s" s="17">
        <v>86</v>
      </c>
      <c r="L16" s="18"/>
      <c r="M16" s="18"/>
      <c r="N16" s="18"/>
      <c r="O16" s="21"/>
      <c r="P16" s="21"/>
      <c r="Q16" s="21"/>
      <c r="R16" s="21"/>
      <c r="S16" s="21"/>
      <c r="T16" s="21"/>
    </row>
    <row r="17" ht="30" customHeight="1">
      <c r="A17" t="s" s="15">
        <v>87</v>
      </c>
      <c r="B17" s="16">
        <v>2022</v>
      </c>
      <c r="C17" t="s" s="15">
        <v>82</v>
      </c>
      <c r="D17" t="s" s="17">
        <v>88</v>
      </c>
      <c r="E17" s="18"/>
      <c r="F17" s="18"/>
      <c r="G17" s="19">
        <v>2</v>
      </c>
      <c r="H17" t="s" s="20">
        <v>25</v>
      </c>
      <c r="I17" t="s" s="17">
        <v>26</v>
      </c>
      <c r="J17" t="s" s="17">
        <v>31</v>
      </c>
      <c r="K17" s="18"/>
      <c r="L17" s="18"/>
      <c r="M17" s="18"/>
      <c r="N17" s="18"/>
      <c r="O17" s="21"/>
      <c r="P17" s="21"/>
      <c r="Q17" s="21"/>
      <c r="R17" s="21"/>
      <c r="S17" s="21"/>
      <c r="T17" s="21"/>
    </row>
    <row r="18" ht="26.55" customHeight="1">
      <c r="A18" t="s" s="15">
        <v>89</v>
      </c>
      <c r="B18" s="16">
        <v>2019</v>
      </c>
      <c r="C18" t="s" s="15">
        <v>90</v>
      </c>
      <c r="D18" t="s" s="17">
        <v>91</v>
      </c>
      <c r="E18" t="s" s="17">
        <v>92</v>
      </c>
      <c r="F18" s="18"/>
      <c r="G18" s="19">
        <v>3</v>
      </c>
      <c r="H18" t="s" s="20">
        <v>46</v>
      </c>
      <c r="I18" t="s" s="17">
        <v>26</v>
      </c>
      <c r="J18" t="s" s="17">
        <v>93</v>
      </c>
      <c r="K18" t="s" s="17">
        <v>32</v>
      </c>
      <c r="L18" s="18"/>
      <c r="M18" s="18"/>
      <c r="N18" s="18"/>
      <c r="O18" s="21"/>
      <c r="P18" s="21"/>
      <c r="Q18" s="21"/>
      <c r="R18" s="21"/>
      <c r="S18" s="21"/>
      <c r="T18" s="21"/>
    </row>
    <row r="19" ht="39.55" customHeight="1">
      <c r="A19" t="s" s="15">
        <v>94</v>
      </c>
      <c r="B19" s="16">
        <v>2008</v>
      </c>
      <c r="C19" t="s" s="15">
        <v>95</v>
      </c>
      <c r="D19" t="s" s="17">
        <v>96</v>
      </c>
      <c r="E19" t="s" s="17">
        <v>97</v>
      </c>
      <c r="F19" s="18"/>
      <c r="G19" s="19">
        <v>2</v>
      </c>
      <c r="H19" t="s" s="20">
        <v>25</v>
      </c>
      <c r="I19" t="s" s="17">
        <v>26</v>
      </c>
      <c r="J19" t="s" s="17">
        <v>66</v>
      </c>
      <c r="K19" t="s" s="17">
        <v>86</v>
      </c>
      <c r="L19" s="18"/>
      <c r="M19" s="18"/>
      <c r="N19" s="18"/>
      <c r="O19" s="21"/>
      <c r="P19" s="21"/>
      <c r="Q19" s="21"/>
      <c r="R19" s="21"/>
      <c r="S19" s="21"/>
      <c r="T19" s="21"/>
    </row>
    <row r="20" ht="30" customHeight="1">
      <c r="A20" t="s" s="15">
        <v>98</v>
      </c>
      <c r="B20" s="16">
        <v>2011</v>
      </c>
      <c r="C20" t="s" s="15">
        <v>99</v>
      </c>
      <c r="D20" t="s" s="17">
        <v>100</v>
      </c>
      <c r="E20" t="s" s="17">
        <v>101</v>
      </c>
      <c r="F20" s="18"/>
      <c r="G20" s="19">
        <v>2</v>
      </c>
      <c r="H20" t="s" s="20">
        <v>25</v>
      </c>
      <c r="I20" t="s" s="17">
        <v>26</v>
      </c>
      <c r="J20" t="s" s="17">
        <v>102</v>
      </c>
      <c r="K20" s="18"/>
      <c r="L20" s="18"/>
      <c r="M20" s="18"/>
      <c r="N20" s="18"/>
      <c r="O20" s="21"/>
      <c r="P20" s="21"/>
      <c r="Q20" s="21"/>
      <c r="R20" s="21"/>
      <c r="S20" s="21"/>
      <c r="T20" s="21"/>
    </row>
    <row r="21" ht="30" customHeight="1">
      <c r="A21" t="s" s="15">
        <v>103</v>
      </c>
      <c r="B21" s="16">
        <v>2010</v>
      </c>
      <c r="C21" t="s" s="15">
        <v>104</v>
      </c>
      <c r="D21" t="s" s="17">
        <v>105</v>
      </c>
      <c r="E21" t="s" s="17">
        <v>106</v>
      </c>
      <c r="F21" s="18"/>
      <c r="G21" s="19">
        <v>2</v>
      </c>
      <c r="H21" t="s" s="20">
        <v>25</v>
      </c>
      <c r="I21" t="s" s="17">
        <v>26</v>
      </c>
      <c r="J21" t="s" s="17">
        <v>85</v>
      </c>
      <c r="K21" s="18"/>
      <c r="L21" s="18"/>
      <c r="M21" s="18"/>
      <c r="N21" s="18"/>
      <c r="O21" s="21"/>
      <c r="P21" s="21"/>
      <c r="Q21" s="21"/>
      <c r="R21" s="21"/>
      <c r="S21" s="21"/>
      <c r="T21" s="21"/>
    </row>
    <row r="22" ht="26.55" customHeight="1">
      <c r="A22" t="s" s="15">
        <v>107</v>
      </c>
      <c r="B22" s="16">
        <v>2021</v>
      </c>
      <c r="C22" t="s" s="15">
        <v>108</v>
      </c>
      <c r="D22" t="s" s="17">
        <v>109</v>
      </c>
      <c r="E22" t="s" s="17">
        <v>110</v>
      </c>
      <c r="F22" s="18"/>
      <c r="G22" s="19">
        <v>2</v>
      </c>
      <c r="H22" t="s" s="20">
        <v>25</v>
      </c>
      <c r="I22" t="s" s="17">
        <v>26</v>
      </c>
      <c r="J22" t="s" s="17">
        <v>93</v>
      </c>
      <c r="K22" s="18"/>
      <c r="L22" s="18"/>
      <c r="M22" s="18"/>
      <c r="N22" s="18"/>
      <c r="O22" s="21"/>
      <c r="P22" s="21"/>
      <c r="Q22" s="21"/>
      <c r="R22" s="21"/>
      <c r="S22" s="21"/>
      <c r="T22" s="21"/>
    </row>
    <row r="23" ht="30" customHeight="1">
      <c r="A23" t="s" s="15">
        <v>111</v>
      </c>
      <c r="B23" s="16">
        <v>2021</v>
      </c>
      <c r="C23" t="s" s="15">
        <v>112</v>
      </c>
      <c r="D23" t="s" s="17">
        <v>113</v>
      </c>
      <c r="E23" t="s" s="17">
        <v>114</v>
      </c>
      <c r="F23" s="18"/>
      <c r="G23" s="19">
        <v>2</v>
      </c>
      <c r="H23" t="s" s="20">
        <v>25</v>
      </c>
      <c r="I23" t="s" s="17">
        <v>26</v>
      </c>
      <c r="J23" t="s" s="17">
        <v>27</v>
      </c>
      <c r="K23" s="18"/>
      <c r="L23" s="18"/>
      <c r="M23" s="18"/>
      <c r="N23" s="18"/>
      <c r="O23" s="21"/>
      <c r="P23" s="21"/>
      <c r="Q23" s="21"/>
      <c r="R23" s="21"/>
      <c r="S23" s="21"/>
      <c r="T23" s="21"/>
    </row>
    <row r="24" ht="30" customHeight="1">
      <c r="A24" t="s" s="15">
        <v>115</v>
      </c>
      <c r="B24" s="16">
        <v>2021</v>
      </c>
      <c r="C24" t="s" s="15">
        <v>116</v>
      </c>
      <c r="D24" t="s" s="17">
        <v>117</v>
      </c>
      <c r="E24" t="s" s="17">
        <v>118</v>
      </c>
      <c r="F24" s="18"/>
      <c r="G24" s="19">
        <v>2</v>
      </c>
      <c r="H24" t="s" s="20">
        <v>25</v>
      </c>
      <c r="I24" t="s" s="17">
        <v>26</v>
      </c>
      <c r="J24" t="s" s="17">
        <v>119</v>
      </c>
      <c r="K24" s="18"/>
      <c r="L24" s="18"/>
      <c r="M24" s="18"/>
      <c r="N24" s="18"/>
      <c r="O24" s="21"/>
      <c r="P24" s="21"/>
      <c r="Q24" s="21"/>
      <c r="R24" s="21"/>
      <c r="S24" s="21"/>
      <c r="T24" s="21"/>
    </row>
    <row r="25" ht="30" customHeight="1">
      <c r="A25" t="s" s="15">
        <v>120</v>
      </c>
      <c r="B25" s="16">
        <v>2013</v>
      </c>
      <c r="C25" t="s" s="15">
        <v>121</v>
      </c>
      <c r="D25" t="s" s="17">
        <v>122</v>
      </c>
      <c r="E25" t="s" s="17">
        <v>123</v>
      </c>
      <c r="F25" s="18"/>
      <c r="G25" s="19">
        <v>2</v>
      </c>
      <c r="H25" t="s" s="20">
        <v>25</v>
      </c>
      <c r="I25" t="s" s="17">
        <v>26</v>
      </c>
      <c r="J25" t="s" s="17">
        <v>93</v>
      </c>
      <c r="K25" s="18"/>
      <c r="L25" s="18"/>
      <c r="M25" s="18"/>
      <c r="N25" s="18"/>
      <c r="O25" s="21"/>
      <c r="P25" s="21"/>
      <c r="Q25" s="21"/>
      <c r="R25" s="21"/>
      <c r="S25" s="21"/>
      <c r="T25" s="21"/>
    </row>
    <row r="26" ht="30" customHeight="1">
      <c r="A26" t="s" s="15">
        <v>124</v>
      </c>
      <c r="B26" s="16">
        <v>2015</v>
      </c>
      <c r="C26" t="s" s="15">
        <v>121</v>
      </c>
      <c r="D26" t="s" s="17">
        <v>125</v>
      </c>
      <c r="E26" t="s" s="17">
        <v>126</v>
      </c>
      <c r="F26" s="18"/>
      <c r="G26" s="19">
        <v>2</v>
      </c>
      <c r="H26" t="s" s="20">
        <v>25</v>
      </c>
      <c r="I26" t="s" s="17">
        <v>26</v>
      </c>
      <c r="J26" t="s" s="17">
        <v>127</v>
      </c>
      <c r="K26" s="18"/>
      <c r="L26" s="18"/>
      <c r="M26" s="18"/>
      <c r="N26" s="18"/>
      <c r="O26" s="21"/>
      <c r="P26" s="21"/>
      <c r="Q26" s="21"/>
      <c r="R26" s="21"/>
      <c r="S26" s="21"/>
      <c r="T26" s="21"/>
    </row>
    <row r="27" ht="30" customHeight="1">
      <c r="A27" t="s" s="15">
        <v>128</v>
      </c>
      <c r="B27" s="16">
        <v>2016</v>
      </c>
      <c r="C27" t="s" s="15">
        <v>121</v>
      </c>
      <c r="D27" t="s" s="17">
        <v>129</v>
      </c>
      <c r="E27" t="s" s="17">
        <v>130</v>
      </c>
      <c r="F27" s="18"/>
      <c r="G27" s="19">
        <v>3</v>
      </c>
      <c r="H27" t="s" s="20">
        <v>46</v>
      </c>
      <c r="I27" t="s" s="17">
        <v>26</v>
      </c>
      <c r="J27" t="s" s="17">
        <v>131</v>
      </c>
      <c r="K27" s="18"/>
      <c r="L27" s="18"/>
      <c r="M27" s="18"/>
      <c r="N27" s="18"/>
      <c r="O27" s="21"/>
      <c r="P27" s="21"/>
      <c r="Q27" s="21"/>
      <c r="R27" s="21"/>
      <c r="S27" s="21"/>
      <c r="T27" s="21"/>
    </row>
    <row r="28" ht="39.55" customHeight="1">
      <c r="A28" t="s" s="15">
        <v>132</v>
      </c>
      <c r="B28" s="16">
        <v>2016</v>
      </c>
      <c r="C28" t="s" s="15">
        <v>121</v>
      </c>
      <c r="D28" t="s" s="17">
        <v>129</v>
      </c>
      <c r="E28" t="s" s="17">
        <v>133</v>
      </c>
      <c r="F28" s="18"/>
      <c r="G28" s="19">
        <v>3</v>
      </c>
      <c r="H28" t="s" s="20">
        <v>46</v>
      </c>
      <c r="I28" t="s" s="17">
        <v>26</v>
      </c>
      <c r="J28" t="s" s="17">
        <v>131</v>
      </c>
      <c r="K28" s="18"/>
      <c r="L28" s="18"/>
      <c r="M28" s="18"/>
      <c r="N28" s="18"/>
      <c r="O28" s="21"/>
      <c r="P28" s="21"/>
      <c r="Q28" s="21"/>
      <c r="R28" s="21"/>
      <c r="S28" s="21"/>
      <c r="T28" s="21"/>
    </row>
    <row r="29" ht="30" customHeight="1">
      <c r="A29" t="s" s="15">
        <v>134</v>
      </c>
      <c r="B29" s="16">
        <v>2019</v>
      </c>
      <c r="C29" t="s" s="15">
        <v>121</v>
      </c>
      <c r="D29" t="s" s="17">
        <v>135</v>
      </c>
      <c r="E29" t="s" s="17">
        <v>136</v>
      </c>
      <c r="F29" s="18"/>
      <c r="G29" s="19">
        <v>2</v>
      </c>
      <c r="H29" t="s" s="20">
        <v>25</v>
      </c>
      <c r="I29" t="s" s="17">
        <v>26</v>
      </c>
      <c r="J29" t="s" s="17">
        <v>27</v>
      </c>
      <c r="K29" s="18"/>
      <c r="L29" s="18"/>
      <c r="M29" s="18"/>
      <c r="N29" s="18"/>
      <c r="O29" s="21"/>
      <c r="P29" s="21"/>
      <c r="Q29" s="21"/>
      <c r="R29" s="21"/>
      <c r="S29" s="21"/>
      <c r="T29" s="21"/>
    </row>
    <row r="30" ht="45" customHeight="1">
      <c r="A30" t="s" s="15">
        <v>137</v>
      </c>
      <c r="B30" s="16">
        <v>2020</v>
      </c>
      <c r="C30" t="s" s="15">
        <v>121</v>
      </c>
      <c r="D30" t="s" s="17">
        <v>138</v>
      </c>
      <c r="E30" t="s" s="17">
        <v>139</v>
      </c>
      <c r="F30" s="18"/>
      <c r="G30" s="19">
        <v>3</v>
      </c>
      <c r="H30" t="s" s="20">
        <v>46</v>
      </c>
      <c r="I30" t="s" s="17">
        <v>26</v>
      </c>
      <c r="J30" t="s" s="17">
        <v>131</v>
      </c>
      <c r="K30" s="18"/>
      <c r="L30" s="18"/>
      <c r="M30" s="18"/>
      <c r="N30" s="18"/>
      <c r="O30" s="21"/>
      <c r="P30" s="21"/>
      <c r="Q30" s="21"/>
      <c r="R30" s="21"/>
      <c r="S30" s="21"/>
      <c r="T30" s="21"/>
    </row>
    <row r="31" ht="30" customHeight="1">
      <c r="A31" t="s" s="15">
        <v>140</v>
      </c>
      <c r="B31" s="16">
        <v>2021</v>
      </c>
      <c r="C31" t="s" s="15">
        <v>121</v>
      </c>
      <c r="D31" t="s" s="17">
        <v>141</v>
      </c>
      <c r="E31" t="s" s="17">
        <v>142</v>
      </c>
      <c r="F31" s="18"/>
      <c r="G31" s="19">
        <v>3</v>
      </c>
      <c r="H31" t="s" s="20">
        <v>25</v>
      </c>
      <c r="I31" t="s" s="17">
        <v>26</v>
      </c>
      <c r="J31" t="s" s="17">
        <v>85</v>
      </c>
      <c r="K31" s="18"/>
      <c r="L31" s="18"/>
      <c r="M31" s="18"/>
      <c r="N31" s="18"/>
      <c r="O31" s="21"/>
      <c r="P31" s="21"/>
      <c r="Q31" s="21"/>
      <c r="R31" s="21"/>
      <c r="S31" s="21"/>
      <c r="T31" s="21"/>
    </row>
    <row r="32" ht="30" customHeight="1">
      <c r="A32" t="s" s="15">
        <v>143</v>
      </c>
      <c r="B32" s="16">
        <v>2023</v>
      </c>
      <c r="C32" t="s" s="15">
        <v>121</v>
      </c>
      <c r="D32" t="s" s="17">
        <v>144</v>
      </c>
      <c r="E32" t="s" s="17">
        <v>145</v>
      </c>
      <c r="F32" s="18"/>
      <c r="G32" s="19">
        <v>3</v>
      </c>
      <c r="H32" t="s" s="20">
        <v>46</v>
      </c>
      <c r="I32" t="s" s="17">
        <v>26</v>
      </c>
      <c r="J32" t="s" s="17">
        <v>131</v>
      </c>
      <c r="K32" s="18"/>
      <c r="L32" s="18"/>
      <c r="M32" s="18"/>
      <c r="N32" s="18"/>
      <c r="O32" s="21"/>
      <c r="P32" s="21"/>
      <c r="Q32" s="21"/>
      <c r="R32" s="21"/>
      <c r="S32" s="21"/>
      <c r="T32" s="21"/>
    </row>
    <row r="33" ht="45" customHeight="1">
      <c r="A33" t="s" s="15">
        <v>146</v>
      </c>
      <c r="B33" s="16">
        <v>2017</v>
      </c>
      <c r="C33" t="s" s="15">
        <v>147</v>
      </c>
      <c r="D33" t="s" s="17">
        <v>148</v>
      </c>
      <c r="E33" t="s" s="17">
        <v>149</v>
      </c>
      <c r="F33" t="s" s="17">
        <v>150</v>
      </c>
      <c r="G33" s="19">
        <v>2</v>
      </c>
      <c r="H33" t="s" s="20">
        <v>25</v>
      </c>
      <c r="I33" t="s" s="17">
        <v>42</v>
      </c>
      <c r="J33" s="18"/>
      <c r="K33" t="s" s="17">
        <v>43</v>
      </c>
      <c r="L33" t="s" s="17">
        <v>26</v>
      </c>
      <c r="M33" s="18"/>
      <c r="N33" t="s" s="17">
        <v>151</v>
      </c>
      <c r="O33" t="s" s="20">
        <v>152</v>
      </c>
      <c r="P33" s="21"/>
      <c r="Q33" s="21"/>
      <c r="R33" s="21"/>
      <c r="S33" s="21"/>
      <c r="T33" s="21"/>
    </row>
    <row r="34" ht="45" customHeight="1">
      <c r="A34" t="s" s="15">
        <v>153</v>
      </c>
      <c r="B34" s="16">
        <v>2019</v>
      </c>
      <c r="C34" t="s" s="15">
        <v>147</v>
      </c>
      <c r="D34" t="s" s="17">
        <v>150</v>
      </c>
      <c r="E34" t="s" s="17">
        <v>154</v>
      </c>
      <c r="F34" t="s" s="17">
        <v>148</v>
      </c>
      <c r="G34" s="19">
        <v>2</v>
      </c>
      <c r="H34" t="s" s="20">
        <v>25</v>
      </c>
      <c r="I34" t="s" s="17">
        <v>42</v>
      </c>
      <c r="J34" s="18"/>
      <c r="K34" t="s" s="17">
        <v>43</v>
      </c>
      <c r="L34" t="s" s="17">
        <v>26</v>
      </c>
      <c r="M34" t="s" s="17">
        <v>44</v>
      </c>
      <c r="N34" t="s" s="17">
        <v>155</v>
      </c>
      <c r="O34" t="s" s="20">
        <v>156</v>
      </c>
      <c r="P34" t="s" s="20">
        <v>25</v>
      </c>
      <c r="Q34" s="21"/>
      <c r="R34" s="21"/>
      <c r="S34" s="21"/>
      <c r="T34" s="21"/>
    </row>
    <row r="35" ht="30" customHeight="1">
      <c r="A35" t="s" s="15">
        <v>157</v>
      </c>
      <c r="B35" s="16">
        <v>2016</v>
      </c>
      <c r="C35" t="s" s="15">
        <v>158</v>
      </c>
      <c r="D35" t="s" s="17">
        <v>159</v>
      </c>
      <c r="E35" s="18"/>
      <c r="F35" s="18"/>
      <c r="G35" s="19">
        <v>3</v>
      </c>
      <c r="H35" t="s" s="20">
        <v>46</v>
      </c>
      <c r="I35" t="s" s="17">
        <v>26</v>
      </c>
      <c r="J35" t="s" s="17">
        <v>61</v>
      </c>
      <c r="K35" s="18"/>
      <c r="L35" s="18"/>
      <c r="M35" s="18"/>
      <c r="N35" s="18"/>
      <c r="O35" s="21"/>
      <c r="P35" s="21"/>
      <c r="Q35" s="21"/>
      <c r="R35" s="21"/>
      <c r="S35" s="21"/>
      <c r="T35" s="21"/>
    </row>
    <row r="36" ht="30" customHeight="1">
      <c r="A36" t="s" s="15">
        <v>160</v>
      </c>
      <c r="B36" s="16">
        <v>2018</v>
      </c>
      <c r="C36" t="s" s="15">
        <v>161</v>
      </c>
      <c r="D36" t="s" s="17">
        <v>162</v>
      </c>
      <c r="E36" t="s" s="17">
        <v>163</v>
      </c>
      <c r="F36" s="18"/>
      <c r="G36" s="19">
        <v>2</v>
      </c>
      <c r="H36" t="s" s="20">
        <v>25</v>
      </c>
      <c r="I36" t="s" s="17">
        <v>26</v>
      </c>
      <c r="J36" t="s" s="17">
        <v>61</v>
      </c>
      <c r="K36" s="18"/>
      <c r="L36" s="18"/>
      <c r="M36" s="18"/>
      <c r="N36" s="18"/>
      <c r="O36" s="21"/>
      <c r="P36" s="21"/>
      <c r="Q36" s="21"/>
      <c r="R36" s="21"/>
      <c r="S36" s="21"/>
      <c r="T36" s="21"/>
    </row>
    <row r="37" ht="30" customHeight="1">
      <c r="A37" t="s" s="15">
        <v>164</v>
      </c>
      <c r="B37" s="16">
        <v>2005</v>
      </c>
      <c r="C37" t="s" s="15">
        <v>165</v>
      </c>
      <c r="D37" t="s" s="17">
        <v>166</v>
      </c>
      <c r="E37" s="18"/>
      <c r="F37" s="18"/>
      <c r="G37" s="19">
        <v>2</v>
      </c>
      <c r="H37" t="s" s="20">
        <v>25</v>
      </c>
      <c r="I37" t="s" s="17">
        <v>42</v>
      </c>
      <c r="J37" s="18"/>
      <c r="K37" t="s" s="17">
        <v>43</v>
      </c>
      <c r="L37" t="s" s="17">
        <v>26</v>
      </c>
      <c r="M37" s="18"/>
      <c r="N37" t="s" s="17">
        <v>167</v>
      </c>
      <c r="O37" t="s" s="20">
        <v>168</v>
      </c>
      <c r="P37" s="21"/>
      <c r="Q37" s="21"/>
      <c r="R37" s="21"/>
      <c r="S37" s="21"/>
      <c r="T37" s="21"/>
    </row>
    <row r="38" ht="30" customHeight="1">
      <c r="A38" t="s" s="15">
        <v>169</v>
      </c>
      <c r="B38" s="16">
        <v>2016</v>
      </c>
      <c r="C38" t="s" s="15">
        <v>170</v>
      </c>
      <c r="D38" t="s" s="17">
        <v>171</v>
      </c>
      <c r="E38" t="s" s="17">
        <v>172</v>
      </c>
      <c r="F38" s="18"/>
      <c r="G38" s="19">
        <v>3</v>
      </c>
      <c r="H38" t="s" s="20">
        <v>25</v>
      </c>
      <c r="I38" t="s" s="17">
        <v>26</v>
      </c>
      <c r="J38" t="s" s="17">
        <v>173</v>
      </c>
      <c r="K38" s="18"/>
      <c r="L38" s="18"/>
      <c r="M38" s="18"/>
      <c r="N38" s="18"/>
      <c r="O38" s="21"/>
      <c r="P38" s="21"/>
      <c r="Q38" s="21"/>
      <c r="R38" s="21"/>
      <c r="S38" s="21"/>
      <c r="T38" s="21"/>
    </row>
    <row r="39" ht="30" customHeight="1">
      <c r="A39" t="s" s="15">
        <v>174</v>
      </c>
      <c r="B39" s="16">
        <v>2019</v>
      </c>
      <c r="C39" t="s" s="15">
        <v>175</v>
      </c>
      <c r="D39" t="s" s="17">
        <v>176</v>
      </c>
      <c r="E39" t="s" s="17">
        <v>177</v>
      </c>
      <c r="F39" s="18"/>
      <c r="G39" s="19">
        <v>2</v>
      </c>
      <c r="H39" t="s" s="20">
        <v>25</v>
      </c>
      <c r="I39" t="s" s="17">
        <v>26</v>
      </c>
      <c r="J39" t="s" s="17">
        <v>178</v>
      </c>
      <c r="K39" s="18"/>
      <c r="L39" s="18"/>
      <c r="M39" s="18"/>
      <c r="N39" s="18"/>
      <c r="O39" s="21"/>
      <c r="P39" s="21"/>
      <c r="Q39" s="21"/>
      <c r="R39" s="21"/>
      <c r="S39" s="21"/>
      <c r="T39" s="21"/>
    </row>
    <row r="40" ht="26.55" customHeight="1">
      <c r="A40" t="s" s="15">
        <v>179</v>
      </c>
      <c r="B40" s="16">
        <v>2007</v>
      </c>
      <c r="C40" t="s" s="15">
        <v>180</v>
      </c>
      <c r="D40" t="s" s="17">
        <v>181</v>
      </c>
      <c r="E40" t="s" s="17">
        <v>182</v>
      </c>
      <c r="F40" s="18"/>
      <c r="G40" s="19">
        <v>2</v>
      </c>
      <c r="H40" t="s" s="20">
        <v>25</v>
      </c>
      <c r="I40" t="s" s="17">
        <v>26</v>
      </c>
      <c r="J40" t="s" s="17">
        <v>31</v>
      </c>
      <c r="K40" t="s" s="17">
        <v>32</v>
      </c>
      <c r="L40" s="18"/>
      <c r="M40" s="18"/>
      <c r="N40" s="18"/>
      <c r="O40" s="21"/>
      <c r="P40" s="21"/>
      <c r="Q40" s="21"/>
      <c r="R40" s="21"/>
      <c r="S40" s="21"/>
      <c r="T40" s="21"/>
    </row>
    <row r="41" ht="30" customHeight="1">
      <c r="A41" t="s" s="15">
        <v>183</v>
      </c>
      <c r="B41" s="16">
        <v>2017</v>
      </c>
      <c r="C41" t="s" s="15">
        <v>184</v>
      </c>
      <c r="D41" t="s" s="17">
        <v>185</v>
      </c>
      <c r="E41" t="s" s="17">
        <v>186</v>
      </c>
      <c r="F41" s="18"/>
      <c r="G41" s="19">
        <v>2</v>
      </c>
      <c r="H41" t="s" s="20">
        <v>25</v>
      </c>
      <c r="I41" t="s" s="17">
        <v>26</v>
      </c>
      <c r="J41" t="s" s="17">
        <v>187</v>
      </c>
      <c r="K41" s="18"/>
      <c r="L41" s="18"/>
      <c r="M41" s="18"/>
      <c r="N41" s="18"/>
      <c r="O41" s="21"/>
      <c r="P41" s="21"/>
      <c r="Q41" s="21"/>
      <c r="R41" s="21"/>
      <c r="S41" s="21"/>
      <c r="T41" s="21"/>
    </row>
    <row r="42" ht="26.55" customHeight="1">
      <c r="A42" t="s" s="15">
        <v>188</v>
      </c>
      <c r="B42" s="16">
        <v>2022</v>
      </c>
      <c r="C42" t="s" s="15">
        <v>189</v>
      </c>
      <c r="D42" t="s" s="17">
        <v>190</v>
      </c>
      <c r="E42" t="s" s="17">
        <v>191</v>
      </c>
      <c r="F42" s="18"/>
      <c r="G42" s="19">
        <v>3</v>
      </c>
      <c r="H42" t="s" s="20">
        <v>46</v>
      </c>
      <c r="I42" t="s" s="17">
        <v>26</v>
      </c>
      <c r="J42" t="s" s="17">
        <v>85</v>
      </c>
      <c r="K42" t="s" s="17">
        <v>32</v>
      </c>
      <c r="L42" s="18"/>
      <c r="M42" s="18"/>
      <c r="N42" s="18"/>
      <c r="O42" s="21"/>
      <c r="P42" s="21"/>
      <c r="Q42" s="21"/>
      <c r="R42" s="21"/>
      <c r="S42" s="21"/>
      <c r="T42" s="21"/>
    </row>
    <row r="43" ht="26.55" customHeight="1">
      <c r="A43" t="s" s="15">
        <v>192</v>
      </c>
      <c r="B43" s="16">
        <v>2013</v>
      </c>
      <c r="C43" t="s" s="15">
        <v>193</v>
      </c>
      <c r="D43" t="s" s="17">
        <v>194</v>
      </c>
      <c r="E43" s="18"/>
      <c r="F43" s="18"/>
      <c r="G43" s="19">
        <v>3</v>
      </c>
      <c r="H43" t="s" s="20">
        <v>46</v>
      </c>
      <c r="I43" t="s" s="17">
        <v>26</v>
      </c>
      <c r="J43" t="s" s="17">
        <v>31</v>
      </c>
      <c r="K43" t="s" s="17">
        <v>32</v>
      </c>
      <c r="L43" s="18"/>
      <c r="M43" s="18"/>
      <c r="N43" s="18"/>
      <c r="O43" s="21"/>
      <c r="P43" s="21"/>
      <c r="Q43" s="21"/>
      <c r="R43" s="21"/>
      <c r="S43" s="21"/>
      <c r="T43" s="21"/>
    </row>
    <row r="44" ht="45" customHeight="1">
      <c r="A44" t="s" s="15">
        <v>195</v>
      </c>
      <c r="B44" s="16">
        <v>2010</v>
      </c>
      <c r="C44" t="s" s="15">
        <v>196</v>
      </c>
      <c r="D44" t="s" s="17">
        <v>197</v>
      </c>
      <c r="E44" t="s" s="17">
        <v>198</v>
      </c>
      <c r="F44" s="18"/>
      <c r="G44" s="19">
        <v>3</v>
      </c>
      <c r="H44" t="s" s="20">
        <v>46</v>
      </c>
      <c r="I44" t="s" s="17">
        <v>26</v>
      </c>
      <c r="J44" t="s" s="17">
        <v>31</v>
      </c>
      <c r="K44" s="18"/>
      <c r="L44" s="18"/>
      <c r="M44" s="18"/>
      <c r="N44" s="18"/>
      <c r="O44" s="21"/>
      <c r="P44" s="21"/>
      <c r="Q44" s="21"/>
      <c r="R44" s="21"/>
      <c r="S44" s="21"/>
      <c r="T44" s="21"/>
    </row>
    <row r="45" ht="39.55" customHeight="1">
      <c r="A45" t="s" s="15">
        <v>199</v>
      </c>
      <c r="B45" s="16">
        <v>2013</v>
      </c>
      <c r="C45" t="s" s="15">
        <v>200</v>
      </c>
      <c r="D45" t="s" s="17">
        <v>201</v>
      </c>
      <c r="E45" t="s" s="17">
        <v>202</v>
      </c>
      <c r="F45" s="18"/>
      <c r="G45" s="19">
        <v>3</v>
      </c>
      <c r="H45" t="s" s="20">
        <v>46</v>
      </c>
      <c r="I45" t="s" s="17">
        <v>26</v>
      </c>
      <c r="J45" t="s" s="17">
        <v>31</v>
      </c>
      <c r="K45" t="s" s="17">
        <v>203</v>
      </c>
      <c r="L45" s="18"/>
      <c r="M45" s="18"/>
      <c r="N45" s="18"/>
      <c r="O45" s="21"/>
      <c r="P45" s="21"/>
      <c r="Q45" s="21"/>
      <c r="R45" s="21"/>
      <c r="S45" s="21"/>
      <c r="T45" s="21"/>
    </row>
    <row r="46" ht="30" customHeight="1">
      <c r="A46" t="s" s="15">
        <v>204</v>
      </c>
      <c r="B46" s="16">
        <v>2019</v>
      </c>
      <c r="C46" t="s" s="15">
        <v>205</v>
      </c>
      <c r="D46" t="s" s="17">
        <v>206</v>
      </c>
      <c r="E46" t="s" s="17">
        <v>207</v>
      </c>
      <c r="F46" s="18"/>
      <c r="G46" s="19">
        <v>3</v>
      </c>
      <c r="H46" t="s" s="20">
        <v>46</v>
      </c>
      <c r="I46" t="s" s="17">
        <v>26</v>
      </c>
      <c r="J46" t="s" s="17">
        <v>93</v>
      </c>
      <c r="K46" s="18"/>
      <c r="L46" s="18"/>
      <c r="M46" s="18"/>
      <c r="N46" s="18"/>
      <c r="O46" s="21"/>
      <c r="P46" s="21"/>
      <c r="Q46" s="21"/>
      <c r="R46" s="21"/>
      <c r="S46" s="21"/>
      <c r="T46" s="21"/>
    </row>
    <row r="47" ht="30" customHeight="1">
      <c r="A47" t="s" s="15">
        <v>208</v>
      </c>
      <c r="B47" s="16">
        <v>2007</v>
      </c>
      <c r="C47" t="s" s="15">
        <v>209</v>
      </c>
      <c r="D47" t="s" s="17">
        <v>210</v>
      </c>
      <c r="E47" t="s" s="17">
        <v>211</v>
      </c>
      <c r="F47" s="18"/>
      <c r="G47" s="19">
        <v>2</v>
      </c>
      <c r="H47" t="s" s="20">
        <v>25</v>
      </c>
      <c r="I47" t="s" s="17">
        <v>42</v>
      </c>
      <c r="J47" s="18"/>
      <c r="K47" t="s" s="17">
        <v>43</v>
      </c>
      <c r="L47" t="s" s="17">
        <v>42</v>
      </c>
      <c r="M47" t="s" s="17">
        <v>212</v>
      </c>
      <c r="N47" s="18"/>
      <c r="O47" s="21"/>
      <c r="P47" t="s" s="20">
        <v>46</v>
      </c>
      <c r="Q47" s="21"/>
      <c r="R47" s="21"/>
      <c r="S47" s="21"/>
      <c r="T47" s="21"/>
    </row>
    <row r="48" ht="30" customHeight="1">
      <c r="A48" t="s" s="15">
        <v>213</v>
      </c>
      <c r="B48" s="16">
        <v>2022</v>
      </c>
      <c r="C48" t="s" s="15">
        <v>209</v>
      </c>
      <c r="D48" t="s" s="17">
        <v>214</v>
      </c>
      <c r="E48" t="s" s="17">
        <v>215</v>
      </c>
      <c r="F48" s="18"/>
      <c r="G48" s="19">
        <v>3</v>
      </c>
      <c r="H48" t="s" s="20">
        <v>46</v>
      </c>
      <c r="I48" t="s" s="17">
        <v>26</v>
      </c>
      <c r="J48" t="s" s="17">
        <v>31</v>
      </c>
      <c r="K48" t="s" s="17">
        <v>86</v>
      </c>
      <c r="L48" s="18"/>
      <c r="M48" s="18"/>
      <c r="N48" s="18"/>
      <c r="O48" s="21"/>
      <c r="P48" s="21"/>
      <c r="Q48" s="21"/>
      <c r="R48" s="21"/>
      <c r="S48" s="21"/>
      <c r="T48" s="21"/>
    </row>
    <row r="49" ht="45" customHeight="1">
      <c r="A49" t="s" s="15">
        <v>216</v>
      </c>
      <c r="B49" s="16">
        <v>2022</v>
      </c>
      <c r="C49" t="s" s="15">
        <v>217</v>
      </c>
      <c r="D49" t="s" s="17">
        <v>218</v>
      </c>
      <c r="E49" t="s" s="17">
        <v>219</v>
      </c>
      <c r="F49" s="18"/>
      <c r="G49" s="19">
        <v>2</v>
      </c>
      <c r="H49" t="s" s="20">
        <v>25</v>
      </c>
      <c r="I49" t="s" s="17">
        <v>42</v>
      </c>
      <c r="J49" s="18"/>
      <c r="K49" t="s" s="17">
        <v>43</v>
      </c>
      <c r="L49" t="s" s="17">
        <v>26</v>
      </c>
      <c r="M49" s="18"/>
      <c r="N49" t="s" s="17">
        <v>220</v>
      </c>
      <c r="O49" t="s" s="20">
        <v>221</v>
      </c>
      <c r="P49" s="21"/>
      <c r="Q49" s="21"/>
      <c r="R49" s="21"/>
      <c r="S49" s="21"/>
      <c r="T49" s="21"/>
    </row>
    <row r="50" ht="30" customHeight="1">
      <c r="A50" t="s" s="15">
        <v>222</v>
      </c>
      <c r="B50" s="16">
        <v>2022</v>
      </c>
      <c r="C50" t="s" s="15">
        <v>223</v>
      </c>
      <c r="D50" t="s" s="17">
        <v>224</v>
      </c>
      <c r="E50" t="s" s="17">
        <v>225</v>
      </c>
      <c r="F50" s="18"/>
      <c r="G50" s="19">
        <v>2</v>
      </c>
      <c r="H50" t="s" s="20">
        <v>25</v>
      </c>
      <c r="I50" t="s" s="17">
        <v>26</v>
      </c>
      <c r="J50" t="s" s="17">
        <v>102</v>
      </c>
      <c r="K50" s="18"/>
      <c r="L50" s="18"/>
      <c r="M50" s="18"/>
      <c r="N50" s="18"/>
      <c r="O50" s="21"/>
      <c r="P50" s="21"/>
      <c r="Q50" s="21"/>
      <c r="R50" s="21"/>
      <c r="S50" s="21"/>
      <c r="T50" s="21"/>
    </row>
    <row r="51" ht="26.55" customHeight="1">
      <c r="A51" t="s" s="15">
        <v>226</v>
      </c>
      <c r="B51" s="16">
        <v>2019</v>
      </c>
      <c r="C51" t="s" s="15">
        <v>227</v>
      </c>
      <c r="D51" t="s" s="17">
        <v>228</v>
      </c>
      <c r="E51" t="s" s="17">
        <v>229</v>
      </c>
      <c r="F51" s="18"/>
      <c r="G51" s="19">
        <v>2</v>
      </c>
      <c r="H51" t="s" s="20">
        <v>25</v>
      </c>
      <c r="I51" t="s" s="17">
        <v>26</v>
      </c>
      <c r="J51" t="s" s="17">
        <v>27</v>
      </c>
      <c r="K51" s="18"/>
      <c r="L51" s="18"/>
      <c r="M51" s="18"/>
      <c r="N51" s="18"/>
      <c r="O51" s="21"/>
      <c r="P51" s="21"/>
      <c r="Q51" s="21"/>
      <c r="R51" s="21"/>
      <c r="S51" s="21"/>
      <c r="T51" s="21"/>
    </row>
    <row r="52" ht="30" customHeight="1">
      <c r="A52" t="s" s="15">
        <v>230</v>
      </c>
      <c r="B52" s="16">
        <v>2020</v>
      </c>
      <c r="C52" t="s" s="15">
        <v>231</v>
      </c>
      <c r="D52" t="s" s="17">
        <v>232</v>
      </c>
      <c r="E52" t="s" s="17">
        <v>233</v>
      </c>
      <c r="F52" s="18"/>
      <c r="G52" s="19">
        <v>2</v>
      </c>
      <c r="H52" t="s" s="20">
        <v>25</v>
      </c>
      <c r="I52" t="s" s="17">
        <v>26</v>
      </c>
      <c r="J52" t="s" s="17">
        <v>234</v>
      </c>
      <c r="K52" s="18"/>
      <c r="L52" s="18"/>
      <c r="M52" s="18"/>
      <c r="N52" s="18"/>
      <c r="O52" s="21"/>
      <c r="P52" s="21"/>
      <c r="Q52" s="21"/>
      <c r="R52" s="21"/>
      <c r="S52" s="21"/>
      <c r="T52" s="21"/>
    </row>
    <row r="53" ht="30" customHeight="1">
      <c r="A53" t="s" s="15">
        <v>235</v>
      </c>
      <c r="B53" s="16">
        <v>2020</v>
      </c>
      <c r="C53" t="s" s="15">
        <v>231</v>
      </c>
      <c r="D53" t="s" s="17">
        <v>232</v>
      </c>
      <c r="E53" t="s" s="17">
        <v>236</v>
      </c>
      <c r="F53" s="18"/>
      <c r="G53" s="19">
        <v>2</v>
      </c>
      <c r="H53" t="s" s="20">
        <v>25</v>
      </c>
      <c r="I53" t="s" s="17">
        <v>26</v>
      </c>
      <c r="J53" t="s" s="17">
        <v>187</v>
      </c>
      <c r="K53" s="18"/>
      <c r="L53" s="18"/>
      <c r="M53" s="18"/>
      <c r="N53" s="18"/>
      <c r="O53" s="21"/>
      <c r="P53" s="21"/>
      <c r="Q53" s="21"/>
      <c r="R53" s="21"/>
      <c r="S53" s="21"/>
      <c r="T53" s="21"/>
    </row>
    <row r="54" ht="30" customHeight="1">
      <c r="A54" t="s" s="15">
        <v>237</v>
      </c>
      <c r="B54" s="16">
        <v>2019</v>
      </c>
      <c r="C54" t="s" s="15">
        <v>238</v>
      </c>
      <c r="D54" t="s" s="17">
        <v>239</v>
      </c>
      <c r="E54" t="s" s="17">
        <v>240</v>
      </c>
      <c r="F54" s="18"/>
      <c r="G54" s="19">
        <v>3</v>
      </c>
      <c r="H54" t="s" s="20">
        <v>46</v>
      </c>
      <c r="I54" t="s" s="17">
        <v>42</v>
      </c>
      <c r="J54" s="18"/>
      <c r="K54" t="s" s="17">
        <v>241</v>
      </c>
      <c r="L54" t="s" s="17">
        <v>42</v>
      </c>
      <c r="M54" t="s" s="17">
        <v>212</v>
      </c>
      <c r="N54" s="18"/>
      <c r="O54" s="21"/>
      <c r="P54" t="s" s="20">
        <v>25</v>
      </c>
      <c r="Q54" s="21"/>
      <c r="R54" s="21"/>
      <c r="S54" s="21"/>
      <c r="T54" s="21"/>
    </row>
    <row r="55" ht="30" customHeight="1">
      <c r="A55" t="s" s="15">
        <v>242</v>
      </c>
      <c r="B55" s="16">
        <v>2020</v>
      </c>
      <c r="C55" t="s" s="15">
        <v>238</v>
      </c>
      <c r="D55" t="s" s="17">
        <v>243</v>
      </c>
      <c r="E55" t="s" s="17">
        <v>244</v>
      </c>
      <c r="F55" s="18"/>
      <c r="G55" s="19">
        <v>3</v>
      </c>
      <c r="H55" t="s" s="20">
        <v>46</v>
      </c>
      <c r="I55" t="s" s="17">
        <v>42</v>
      </c>
      <c r="J55" t="s" s="17">
        <v>131</v>
      </c>
      <c r="K55" t="s" s="17">
        <v>245</v>
      </c>
      <c r="L55" s="18"/>
      <c r="M55" s="18"/>
      <c r="N55" s="18"/>
      <c r="O55" s="21"/>
      <c r="P55" s="21"/>
      <c r="Q55" s="21"/>
      <c r="R55" s="21"/>
      <c r="S55" s="21"/>
      <c r="T55" s="21"/>
    </row>
    <row r="56" ht="30" customHeight="1">
      <c r="A56" t="s" s="15">
        <v>246</v>
      </c>
      <c r="B56" s="16">
        <v>2011</v>
      </c>
      <c r="C56" t="s" s="15">
        <v>247</v>
      </c>
      <c r="D56" t="s" s="17">
        <v>248</v>
      </c>
      <c r="E56" t="s" s="17">
        <v>249</v>
      </c>
      <c r="F56" s="18"/>
      <c r="G56" s="19">
        <v>2</v>
      </c>
      <c r="H56" t="s" s="20">
        <v>25</v>
      </c>
      <c r="I56" t="s" s="17">
        <v>26</v>
      </c>
      <c r="J56" t="s" s="17">
        <v>178</v>
      </c>
      <c r="K56" s="18"/>
      <c r="L56" s="18"/>
      <c r="M56" s="18"/>
      <c r="N56" s="18"/>
      <c r="O56" s="21"/>
      <c r="P56" s="21"/>
      <c r="Q56" s="21"/>
      <c r="R56" s="21"/>
      <c r="S56" s="21"/>
      <c r="T56" s="21"/>
    </row>
    <row r="57" ht="39.55" customHeight="1">
      <c r="A57" t="s" s="15">
        <v>250</v>
      </c>
      <c r="B57" s="16">
        <v>2018</v>
      </c>
      <c r="C57" t="s" s="15">
        <v>251</v>
      </c>
      <c r="D57" t="s" s="17">
        <v>252</v>
      </c>
      <c r="E57" t="s" s="17">
        <v>253</v>
      </c>
      <c r="F57" s="18"/>
      <c r="G57" s="19">
        <v>2</v>
      </c>
      <c r="H57" t="s" s="20">
        <v>25</v>
      </c>
      <c r="I57" t="s" s="17">
        <v>26</v>
      </c>
      <c r="J57" t="s" s="17">
        <v>85</v>
      </c>
      <c r="K57" t="s" s="17">
        <v>32</v>
      </c>
      <c r="L57" s="18"/>
      <c r="M57" s="18"/>
      <c r="N57" s="18"/>
      <c r="O57" s="21"/>
      <c r="P57" s="21"/>
      <c r="Q57" s="21"/>
      <c r="R57" s="21"/>
      <c r="S57" s="21"/>
      <c r="T57" s="21"/>
    </row>
    <row r="58" ht="39.55" customHeight="1">
      <c r="A58" t="s" s="15">
        <v>254</v>
      </c>
      <c r="B58" s="16">
        <v>2008</v>
      </c>
      <c r="C58" t="s" s="15">
        <v>255</v>
      </c>
      <c r="D58" t="s" s="17">
        <v>256</v>
      </c>
      <c r="E58" t="s" s="17">
        <v>257</v>
      </c>
      <c r="F58" s="18"/>
      <c r="G58" s="19">
        <v>3</v>
      </c>
      <c r="H58" t="s" s="20">
        <v>46</v>
      </c>
      <c r="I58" t="s" s="17">
        <v>26</v>
      </c>
      <c r="J58" t="s" s="17">
        <v>93</v>
      </c>
      <c r="K58" t="s" s="17">
        <v>245</v>
      </c>
      <c r="L58" s="18"/>
      <c r="M58" s="18"/>
      <c r="N58" s="18"/>
      <c r="O58" s="21"/>
      <c r="P58" s="21"/>
      <c r="Q58" s="21"/>
      <c r="R58" s="21"/>
      <c r="S58" s="21"/>
      <c r="T58" s="21"/>
    </row>
    <row r="59" ht="30" customHeight="1">
      <c r="A59" t="s" s="15">
        <v>258</v>
      </c>
      <c r="B59" s="16">
        <v>2012</v>
      </c>
      <c r="C59" t="s" s="15">
        <v>259</v>
      </c>
      <c r="D59" t="s" s="17">
        <v>260</v>
      </c>
      <c r="E59" t="s" s="17">
        <v>261</v>
      </c>
      <c r="F59" s="18"/>
      <c r="G59" s="19">
        <v>2</v>
      </c>
      <c r="H59" t="s" s="20">
        <v>25</v>
      </c>
      <c r="I59" t="s" s="17">
        <v>42</v>
      </c>
      <c r="J59" t="s" s="17">
        <v>31</v>
      </c>
      <c r="K59" t="s" s="17">
        <v>262</v>
      </c>
      <c r="L59" s="18"/>
      <c r="M59" s="18"/>
      <c r="N59" s="18"/>
      <c r="O59" s="21"/>
      <c r="P59" s="21"/>
      <c r="Q59" s="21"/>
      <c r="R59" s="21"/>
      <c r="S59" s="21"/>
      <c r="T59" s="21"/>
    </row>
    <row r="60" ht="30" customHeight="1">
      <c r="A60" t="s" s="15">
        <v>263</v>
      </c>
      <c r="B60" s="16">
        <v>2022</v>
      </c>
      <c r="C60" t="s" s="15">
        <v>264</v>
      </c>
      <c r="D60" t="s" s="17">
        <v>265</v>
      </c>
      <c r="E60" t="s" s="17">
        <v>266</v>
      </c>
      <c r="F60" s="18"/>
      <c r="G60" s="19">
        <v>3</v>
      </c>
      <c r="H60" t="s" s="20">
        <v>46</v>
      </c>
      <c r="I60" t="s" s="17">
        <v>26</v>
      </c>
      <c r="J60" t="s" s="17">
        <v>31</v>
      </c>
      <c r="K60" t="s" s="17">
        <v>267</v>
      </c>
      <c r="L60" s="18"/>
      <c r="M60" s="18"/>
      <c r="N60" s="18"/>
      <c r="O60" s="21"/>
      <c r="P60" s="21"/>
      <c r="Q60" s="21"/>
      <c r="R60" s="21"/>
      <c r="S60" s="21"/>
      <c r="T60" s="21"/>
    </row>
    <row r="61" ht="26.55" customHeight="1">
      <c r="A61" t="s" s="15">
        <v>268</v>
      </c>
      <c r="B61" s="16">
        <v>2015</v>
      </c>
      <c r="C61" t="s" s="15">
        <v>269</v>
      </c>
      <c r="D61" t="s" s="17">
        <v>270</v>
      </c>
      <c r="E61" t="s" s="17">
        <v>271</v>
      </c>
      <c r="F61" s="18"/>
      <c r="G61" s="19">
        <v>2</v>
      </c>
      <c r="H61" t="s" s="20">
        <v>25</v>
      </c>
      <c r="I61" t="s" s="17">
        <v>26</v>
      </c>
      <c r="J61" t="s" s="17">
        <v>66</v>
      </c>
      <c r="K61" s="18"/>
      <c r="L61" s="18"/>
      <c r="M61" s="18"/>
      <c r="N61" s="18"/>
      <c r="O61" s="21"/>
      <c r="P61" s="21"/>
      <c r="Q61" s="21"/>
      <c r="R61" s="21"/>
      <c r="S61" s="21"/>
      <c r="T61" s="21"/>
    </row>
    <row r="62" ht="30" customHeight="1">
      <c r="A62" t="s" s="15">
        <v>272</v>
      </c>
      <c r="B62" s="16">
        <v>2020</v>
      </c>
      <c r="C62" t="s" s="15">
        <v>273</v>
      </c>
      <c r="D62" t="s" s="17">
        <v>274</v>
      </c>
      <c r="E62" t="s" s="17">
        <v>275</v>
      </c>
      <c r="F62" s="18"/>
      <c r="G62" s="19">
        <v>2</v>
      </c>
      <c r="H62" t="s" s="20">
        <v>25</v>
      </c>
      <c r="I62" t="s" s="17">
        <v>42</v>
      </c>
      <c r="J62" s="18"/>
      <c r="K62" t="s" s="17">
        <v>276</v>
      </c>
      <c r="L62" t="s" s="17">
        <v>42</v>
      </c>
      <c r="M62" t="s" s="17">
        <v>44</v>
      </c>
      <c r="N62" s="18"/>
      <c r="O62" s="21"/>
      <c r="P62" t="s" s="20">
        <v>46</v>
      </c>
      <c r="Q62" t="s" s="20">
        <v>277</v>
      </c>
      <c r="R62" s="21"/>
      <c r="S62" s="21"/>
      <c r="T62" s="21"/>
    </row>
    <row r="63" ht="30" customHeight="1">
      <c r="A63" t="s" s="15">
        <v>278</v>
      </c>
      <c r="B63" s="16">
        <v>2020</v>
      </c>
      <c r="C63" t="s" s="15">
        <v>273</v>
      </c>
      <c r="D63" t="s" s="17">
        <v>274</v>
      </c>
      <c r="E63" t="s" s="17">
        <v>279</v>
      </c>
      <c r="F63" s="18"/>
      <c r="G63" s="19">
        <v>3</v>
      </c>
      <c r="H63" t="s" s="20">
        <v>46</v>
      </c>
      <c r="I63" t="s" s="17">
        <v>26</v>
      </c>
      <c r="J63" t="s" s="17">
        <v>31</v>
      </c>
      <c r="K63" t="s" s="17">
        <v>280</v>
      </c>
      <c r="L63" s="18"/>
      <c r="M63" s="18"/>
      <c r="N63" s="18"/>
      <c r="O63" s="21"/>
      <c r="P63" s="21"/>
      <c r="Q63" s="21"/>
      <c r="R63" s="21"/>
      <c r="S63" s="21"/>
      <c r="T63" s="21"/>
    </row>
    <row r="64" ht="30" customHeight="1">
      <c r="A64" t="s" s="15">
        <v>281</v>
      </c>
      <c r="B64" s="16">
        <v>2023</v>
      </c>
      <c r="C64" t="s" s="15">
        <v>273</v>
      </c>
      <c r="D64" t="s" s="17">
        <v>282</v>
      </c>
      <c r="E64" t="s" s="17">
        <v>283</v>
      </c>
      <c r="F64" s="18"/>
      <c r="G64" s="19">
        <v>3</v>
      </c>
      <c r="H64" t="s" s="20">
        <v>46</v>
      </c>
      <c r="I64" t="s" s="17">
        <v>26</v>
      </c>
      <c r="J64" t="s" s="17">
        <v>61</v>
      </c>
      <c r="K64" s="18"/>
      <c r="L64" s="18"/>
      <c r="M64" s="18"/>
      <c r="N64" s="18"/>
      <c r="O64" s="21"/>
      <c r="P64" s="21"/>
      <c r="Q64" s="21"/>
      <c r="R64" s="21"/>
      <c r="S64" s="21"/>
      <c r="T64" s="21"/>
    </row>
    <row r="65" ht="30" customHeight="1">
      <c r="A65" t="s" s="15">
        <v>284</v>
      </c>
      <c r="B65" s="16">
        <v>2013</v>
      </c>
      <c r="C65" t="s" s="15">
        <v>285</v>
      </c>
      <c r="D65" t="s" s="17">
        <v>286</v>
      </c>
      <c r="E65" t="s" s="17">
        <v>287</v>
      </c>
      <c r="F65" s="18"/>
      <c r="G65" s="19">
        <v>2</v>
      </c>
      <c r="H65" t="s" s="20">
        <v>25</v>
      </c>
      <c r="I65" t="s" s="17">
        <v>42</v>
      </c>
      <c r="J65" t="s" s="17">
        <v>31</v>
      </c>
      <c r="K65" t="s" s="17">
        <v>288</v>
      </c>
      <c r="L65" s="18"/>
      <c r="M65" s="18"/>
      <c r="N65" s="18"/>
      <c r="O65" s="21"/>
      <c r="P65" s="21"/>
      <c r="Q65" s="21"/>
      <c r="R65" s="21"/>
      <c r="S65" s="21"/>
      <c r="T65" s="21"/>
    </row>
    <row r="66" ht="30" customHeight="1">
      <c r="A66" t="s" s="15">
        <v>289</v>
      </c>
      <c r="B66" s="16">
        <v>2005</v>
      </c>
      <c r="C66" t="s" s="15">
        <v>290</v>
      </c>
      <c r="D66" t="s" s="17">
        <v>291</v>
      </c>
      <c r="E66" t="s" s="17">
        <v>292</v>
      </c>
      <c r="F66" s="18"/>
      <c r="G66" s="19">
        <v>2</v>
      </c>
      <c r="H66" t="s" s="20">
        <v>25</v>
      </c>
      <c r="I66" t="s" s="17">
        <v>42</v>
      </c>
      <c r="J66" s="18"/>
      <c r="K66" t="s" s="17">
        <v>293</v>
      </c>
      <c r="L66" t="s" s="17">
        <v>26</v>
      </c>
      <c r="M66" s="18"/>
      <c r="N66" t="s" s="17">
        <v>294</v>
      </c>
      <c r="O66" s="21"/>
      <c r="P66" s="21"/>
      <c r="Q66" s="21"/>
      <c r="R66" s="21"/>
      <c r="S66" s="21"/>
      <c r="T66" s="21"/>
    </row>
    <row r="67" ht="39.55" customHeight="1">
      <c r="A67" t="s" s="15">
        <v>295</v>
      </c>
      <c r="B67" s="16">
        <v>2005</v>
      </c>
      <c r="C67" t="s" s="15">
        <v>290</v>
      </c>
      <c r="D67" t="s" s="17">
        <v>291</v>
      </c>
      <c r="E67" t="s" s="17">
        <v>296</v>
      </c>
      <c r="F67" s="18"/>
      <c r="G67" s="19">
        <v>2</v>
      </c>
      <c r="H67" t="s" s="20">
        <v>25</v>
      </c>
      <c r="I67" t="s" s="17">
        <v>26</v>
      </c>
      <c r="J67" t="s" s="17">
        <v>85</v>
      </c>
      <c r="K67" s="18"/>
      <c r="L67" s="18"/>
      <c r="M67" s="18"/>
      <c r="N67" s="18"/>
      <c r="O67" s="21"/>
      <c r="P67" s="21"/>
      <c r="Q67" s="21"/>
      <c r="R67" s="21"/>
      <c r="S67" s="21"/>
      <c r="T67" s="21"/>
    </row>
    <row r="68" ht="30" customHeight="1">
      <c r="A68" t="s" s="15">
        <v>297</v>
      </c>
      <c r="B68" s="16">
        <v>2006</v>
      </c>
      <c r="C68" t="s" s="15">
        <v>290</v>
      </c>
      <c r="D68" t="s" s="17">
        <v>298</v>
      </c>
      <c r="E68" t="s" s="17">
        <v>299</v>
      </c>
      <c r="F68" s="18"/>
      <c r="G68" s="19">
        <v>3</v>
      </c>
      <c r="H68" t="s" s="20">
        <v>46</v>
      </c>
      <c r="I68" t="s" s="17">
        <v>26</v>
      </c>
      <c r="J68" t="s" s="17">
        <v>27</v>
      </c>
      <c r="K68" s="18"/>
      <c r="L68" s="18"/>
      <c r="M68" s="18"/>
      <c r="N68" s="18"/>
      <c r="O68" s="21"/>
      <c r="P68" s="21"/>
      <c r="Q68" s="21"/>
      <c r="R68" s="21"/>
      <c r="S68" s="21"/>
      <c r="T68" s="21"/>
    </row>
    <row r="69" ht="30" customHeight="1">
      <c r="A69" t="s" s="15">
        <v>300</v>
      </c>
      <c r="B69" s="16">
        <v>2007</v>
      </c>
      <c r="C69" t="s" s="15">
        <v>290</v>
      </c>
      <c r="D69" t="s" s="17">
        <v>301</v>
      </c>
      <c r="E69" t="s" s="17">
        <v>302</v>
      </c>
      <c r="F69" s="18"/>
      <c r="G69" s="19">
        <v>3</v>
      </c>
      <c r="H69" t="s" s="20">
        <v>46</v>
      </c>
      <c r="I69" t="s" s="17">
        <v>26</v>
      </c>
      <c r="J69" t="s" s="17">
        <v>27</v>
      </c>
      <c r="K69" s="18"/>
      <c r="L69" s="18"/>
      <c r="M69" s="18"/>
      <c r="N69" s="18"/>
      <c r="O69" s="21"/>
      <c r="P69" s="21"/>
      <c r="Q69" s="21"/>
      <c r="R69" s="21"/>
      <c r="S69" s="21"/>
      <c r="T69" s="21"/>
    </row>
    <row r="70" ht="39.55" customHeight="1">
      <c r="A70" t="s" s="15">
        <v>303</v>
      </c>
      <c r="B70" s="16">
        <v>2008</v>
      </c>
      <c r="C70" t="s" s="15">
        <v>290</v>
      </c>
      <c r="D70" t="s" s="17">
        <v>304</v>
      </c>
      <c r="E70" t="s" s="17">
        <v>305</v>
      </c>
      <c r="F70" s="18"/>
      <c r="G70" s="19">
        <v>3</v>
      </c>
      <c r="H70" t="s" s="20">
        <v>46</v>
      </c>
      <c r="I70" t="s" s="17">
        <v>26</v>
      </c>
      <c r="J70" t="s" s="17">
        <v>31</v>
      </c>
      <c r="K70" t="s" s="17">
        <v>306</v>
      </c>
      <c r="L70" s="18"/>
      <c r="M70" s="18"/>
      <c r="N70" s="18"/>
      <c r="O70" s="21"/>
      <c r="P70" s="21"/>
      <c r="Q70" s="21"/>
      <c r="R70" s="21"/>
      <c r="S70" s="21"/>
      <c r="T70" s="21"/>
    </row>
    <row r="71" ht="26.55" customHeight="1">
      <c r="A71" t="s" s="15">
        <v>307</v>
      </c>
      <c r="B71" s="16">
        <v>2008</v>
      </c>
      <c r="C71" t="s" s="15">
        <v>290</v>
      </c>
      <c r="D71" t="s" s="17">
        <v>304</v>
      </c>
      <c r="E71" t="s" s="17">
        <v>308</v>
      </c>
      <c r="F71" s="18"/>
      <c r="G71" s="19">
        <v>3</v>
      </c>
      <c r="H71" t="s" s="20">
        <v>46</v>
      </c>
      <c r="I71" t="s" s="17">
        <v>26</v>
      </c>
      <c r="J71" t="s" s="17">
        <v>31</v>
      </c>
      <c r="K71" t="s" s="17">
        <v>32</v>
      </c>
      <c r="L71" s="18"/>
      <c r="M71" s="18"/>
      <c r="N71" s="18"/>
      <c r="O71" s="21"/>
      <c r="P71" s="21"/>
      <c r="Q71" s="21"/>
      <c r="R71" s="21"/>
      <c r="S71" s="21"/>
      <c r="T71" s="21"/>
    </row>
    <row r="72" ht="26.55" customHeight="1">
      <c r="A72" t="s" s="15">
        <v>309</v>
      </c>
      <c r="B72" s="16">
        <v>2011</v>
      </c>
      <c r="C72" t="s" s="15">
        <v>290</v>
      </c>
      <c r="D72" t="s" s="17">
        <v>310</v>
      </c>
      <c r="E72" t="s" s="17">
        <v>311</v>
      </c>
      <c r="F72" s="18"/>
      <c r="G72" s="19">
        <v>3</v>
      </c>
      <c r="H72" t="s" s="20">
        <v>46</v>
      </c>
      <c r="I72" t="s" s="17">
        <v>26</v>
      </c>
      <c r="J72" t="s" s="17">
        <v>31</v>
      </c>
      <c r="K72" t="s" s="17">
        <v>32</v>
      </c>
      <c r="L72" s="18"/>
      <c r="M72" s="18"/>
      <c r="N72" s="18"/>
      <c r="O72" s="21"/>
      <c r="P72" s="21"/>
      <c r="Q72" s="21"/>
      <c r="R72" s="21"/>
      <c r="S72" s="21"/>
      <c r="T72" s="21"/>
    </row>
    <row r="73" ht="45" customHeight="1">
      <c r="A73" t="s" s="15">
        <v>312</v>
      </c>
      <c r="B73" s="16">
        <v>2012</v>
      </c>
      <c r="C73" t="s" s="15">
        <v>290</v>
      </c>
      <c r="D73" t="s" s="17">
        <v>313</v>
      </c>
      <c r="E73" t="s" s="17">
        <v>314</v>
      </c>
      <c r="F73" s="18"/>
      <c r="G73" s="19">
        <v>3</v>
      </c>
      <c r="H73" t="s" s="20">
        <v>46</v>
      </c>
      <c r="I73" t="s" s="17">
        <v>26</v>
      </c>
      <c r="J73" t="s" s="17">
        <v>85</v>
      </c>
      <c r="K73" t="s" s="17">
        <v>315</v>
      </c>
      <c r="L73" t="s" s="17">
        <v>26</v>
      </c>
      <c r="M73" s="18"/>
      <c r="N73" t="s" s="17">
        <v>316</v>
      </c>
      <c r="O73" t="s" s="20">
        <v>317</v>
      </c>
      <c r="P73" s="21"/>
      <c r="Q73" s="21"/>
      <c r="R73" s="21"/>
      <c r="S73" s="21"/>
      <c r="T73" s="21"/>
    </row>
    <row r="74" ht="30" customHeight="1">
      <c r="A74" t="s" s="15">
        <v>318</v>
      </c>
      <c r="B74" s="16">
        <v>2013</v>
      </c>
      <c r="C74" t="s" s="15">
        <v>290</v>
      </c>
      <c r="D74" t="s" s="17">
        <v>319</v>
      </c>
      <c r="E74" t="s" s="17">
        <v>320</v>
      </c>
      <c r="F74" s="18"/>
      <c r="G74" s="19">
        <v>3</v>
      </c>
      <c r="H74" t="s" s="20">
        <v>46</v>
      </c>
      <c r="I74" t="s" s="17">
        <v>26</v>
      </c>
      <c r="J74" t="s" s="17">
        <v>31</v>
      </c>
      <c r="K74" t="s" s="17">
        <v>32</v>
      </c>
      <c r="L74" s="18"/>
      <c r="M74" s="18"/>
      <c r="N74" s="18"/>
      <c r="O74" s="21"/>
      <c r="P74" s="21"/>
      <c r="Q74" s="21"/>
      <c r="R74" s="21"/>
      <c r="S74" s="21"/>
      <c r="T74" s="21"/>
    </row>
    <row r="75" ht="30" customHeight="1">
      <c r="A75" t="s" s="15">
        <v>321</v>
      </c>
      <c r="B75" s="16">
        <v>2016</v>
      </c>
      <c r="C75" t="s" s="15">
        <v>290</v>
      </c>
      <c r="D75" t="s" s="17">
        <v>322</v>
      </c>
      <c r="E75" t="s" s="17">
        <v>323</v>
      </c>
      <c r="F75" s="18"/>
      <c r="G75" s="19">
        <v>3</v>
      </c>
      <c r="H75" t="s" s="20">
        <v>46</v>
      </c>
      <c r="I75" t="s" s="17">
        <v>42</v>
      </c>
      <c r="J75" t="s" s="17">
        <v>31</v>
      </c>
      <c r="K75" t="s" s="17">
        <v>245</v>
      </c>
      <c r="L75" s="18"/>
      <c r="M75" s="18"/>
      <c r="N75" s="18"/>
      <c r="O75" s="21"/>
      <c r="P75" s="21"/>
      <c r="Q75" s="21"/>
      <c r="R75" s="21"/>
      <c r="S75" s="21"/>
      <c r="T75" s="21"/>
    </row>
    <row r="76" ht="30" customHeight="1">
      <c r="A76" t="s" s="15">
        <v>324</v>
      </c>
      <c r="B76" s="16">
        <v>2018</v>
      </c>
      <c r="C76" t="s" s="15">
        <v>290</v>
      </c>
      <c r="D76" t="s" s="17">
        <v>325</v>
      </c>
      <c r="E76" t="s" s="17">
        <v>326</v>
      </c>
      <c r="F76" s="18"/>
      <c r="G76" s="19">
        <v>3</v>
      </c>
      <c r="H76" t="s" s="20">
        <v>46</v>
      </c>
      <c r="I76" t="s" s="17">
        <v>26</v>
      </c>
      <c r="J76" t="s" s="17">
        <v>31</v>
      </c>
      <c r="K76" t="s" s="17">
        <v>32</v>
      </c>
      <c r="L76" s="18"/>
      <c r="M76" s="18"/>
      <c r="N76" s="18"/>
      <c r="O76" s="21"/>
      <c r="P76" s="21"/>
      <c r="Q76" s="21"/>
      <c r="R76" s="21"/>
      <c r="S76" s="21"/>
      <c r="T76" s="21"/>
    </row>
    <row r="77" ht="30" customHeight="1">
      <c r="A77" t="s" s="15">
        <v>327</v>
      </c>
      <c r="B77" s="16">
        <v>2020</v>
      </c>
      <c r="C77" t="s" s="15">
        <v>328</v>
      </c>
      <c r="D77" t="s" s="17">
        <v>329</v>
      </c>
      <c r="E77" t="s" s="17">
        <v>330</v>
      </c>
      <c r="F77" s="18"/>
      <c r="G77" s="19">
        <v>2</v>
      </c>
      <c r="H77" t="s" s="20">
        <v>25</v>
      </c>
      <c r="I77" t="s" s="17">
        <v>26</v>
      </c>
      <c r="J77" t="s" s="17">
        <v>27</v>
      </c>
      <c r="K77" s="18"/>
      <c r="L77" s="18"/>
      <c r="M77" s="18"/>
      <c r="N77" s="18"/>
      <c r="O77" s="21"/>
      <c r="P77" s="21"/>
      <c r="Q77" s="21"/>
      <c r="R77" s="21"/>
      <c r="S77" s="21"/>
      <c r="T77" s="21"/>
    </row>
    <row r="78" ht="30" customHeight="1">
      <c r="A78" t="s" s="15">
        <v>331</v>
      </c>
      <c r="B78" s="16">
        <v>2022</v>
      </c>
      <c r="C78" t="s" s="15">
        <v>332</v>
      </c>
      <c r="D78" t="s" s="17">
        <v>333</v>
      </c>
      <c r="E78" t="s" s="17">
        <v>334</v>
      </c>
      <c r="F78" s="18"/>
      <c r="G78" s="19">
        <v>2</v>
      </c>
      <c r="H78" t="s" s="20">
        <v>25</v>
      </c>
      <c r="I78" t="s" s="17">
        <v>26</v>
      </c>
      <c r="J78" t="s" s="17">
        <v>335</v>
      </c>
      <c r="K78" s="18"/>
      <c r="L78" s="18"/>
      <c r="M78" s="18"/>
      <c r="N78" s="18"/>
      <c r="O78" s="21"/>
      <c r="P78" s="21"/>
      <c r="Q78" s="21"/>
      <c r="R78" s="21"/>
      <c r="S78" s="21"/>
      <c r="T78" s="21"/>
    </row>
    <row r="79" ht="30" customHeight="1">
      <c r="A79" t="s" s="15">
        <v>336</v>
      </c>
      <c r="B79" s="16">
        <v>2018</v>
      </c>
      <c r="C79" t="s" s="15">
        <v>337</v>
      </c>
      <c r="D79" t="s" s="17">
        <v>338</v>
      </c>
      <c r="E79" t="s" s="17">
        <v>339</v>
      </c>
      <c r="F79" s="18"/>
      <c r="G79" s="19">
        <v>2</v>
      </c>
      <c r="H79" t="s" s="20">
        <v>25</v>
      </c>
      <c r="I79" t="s" s="17">
        <v>26</v>
      </c>
      <c r="J79" t="s" s="17">
        <v>27</v>
      </c>
      <c r="K79" s="18"/>
      <c r="L79" s="18"/>
      <c r="M79" s="18"/>
      <c r="N79" s="18"/>
      <c r="O79" s="21"/>
      <c r="P79" s="21"/>
      <c r="Q79" s="21"/>
      <c r="R79" s="21"/>
      <c r="S79" s="21"/>
      <c r="T79" s="21"/>
    </row>
    <row r="80" ht="30" customHeight="1">
      <c r="A80" t="s" s="15">
        <v>340</v>
      </c>
      <c r="B80" s="16">
        <v>2008</v>
      </c>
      <c r="C80" t="s" s="15">
        <v>341</v>
      </c>
      <c r="D80" t="s" s="17">
        <v>342</v>
      </c>
      <c r="E80" t="s" s="17">
        <v>343</v>
      </c>
      <c r="F80" s="18"/>
      <c r="G80" s="19">
        <v>2</v>
      </c>
      <c r="H80" t="s" s="20">
        <v>25</v>
      </c>
      <c r="I80" t="s" s="17">
        <v>26</v>
      </c>
      <c r="J80" t="s" s="17">
        <v>102</v>
      </c>
      <c r="K80" s="18"/>
      <c r="L80" s="18"/>
      <c r="M80" s="18"/>
      <c r="N80" s="18"/>
      <c r="O80" s="21"/>
      <c r="P80" s="21"/>
      <c r="Q80" s="21"/>
      <c r="R80" s="21"/>
      <c r="S80" s="21"/>
      <c r="T80" s="21"/>
    </row>
    <row r="81" ht="30" customHeight="1">
      <c r="A81" t="s" s="15">
        <v>344</v>
      </c>
      <c r="B81" s="16">
        <v>2018</v>
      </c>
      <c r="C81" t="s" s="15">
        <v>341</v>
      </c>
      <c r="D81" t="s" s="17">
        <v>345</v>
      </c>
      <c r="E81" t="s" s="17">
        <v>346</v>
      </c>
      <c r="F81" s="18"/>
      <c r="G81" s="19">
        <v>2</v>
      </c>
      <c r="H81" t="s" s="20">
        <v>25</v>
      </c>
      <c r="I81" t="s" s="17">
        <v>26</v>
      </c>
      <c r="J81" t="s" s="17">
        <v>66</v>
      </c>
      <c r="K81" s="18"/>
      <c r="L81" s="18"/>
      <c r="M81" s="18"/>
      <c r="N81" s="18"/>
      <c r="O81" s="21"/>
      <c r="P81" s="21"/>
      <c r="Q81" s="21"/>
      <c r="R81" s="21"/>
      <c r="S81" s="21"/>
      <c r="T81" s="21"/>
    </row>
    <row r="82" ht="30" customHeight="1">
      <c r="A82" t="s" s="15">
        <v>347</v>
      </c>
      <c r="B82" s="16">
        <v>2020</v>
      </c>
      <c r="C82" t="s" s="15">
        <v>348</v>
      </c>
      <c r="D82" t="s" s="17">
        <v>349</v>
      </c>
      <c r="E82" t="s" s="17">
        <v>350</v>
      </c>
      <c r="F82" s="18"/>
      <c r="G82" s="19">
        <v>2</v>
      </c>
      <c r="H82" t="s" s="20">
        <v>25</v>
      </c>
      <c r="I82" t="s" s="17">
        <v>26</v>
      </c>
      <c r="J82" t="s" s="17">
        <v>27</v>
      </c>
      <c r="K82" s="18"/>
      <c r="L82" s="18"/>
      <c r="M82" s="18"/>
      <c r="N82" s="18"/>
      <c r="O82" s="21"/>
      <c r="P82" s="21"/>
      <c r="Q82" s="21"/>
      <c r="R82" s="21"/>
      <c r="S82" s="21"/>
      <c r="T82" s="21"/>
    </row>
    <row r="83" ht="30" customHeight="1">
      <c r="A83" t="s" s="15">
        <v>351</v>
      </c>
      <c r="B83" s="16">
        <v>2013</v>
      </c>
      <c r="C83" t="s" s="15">
        <v>352</v>
      </c>
      <c r="D83" t="s" s="17">
        <v>353</v>
      </c>
      <c r="E83" t="s" s="17">
        <v>354</v>
      </c>
      <c r="F83" s="18"/>
      <c r="G83" s="19">
        <v>2</v>
      </c>
      <c r="H83" t="s" s="20">
        <v>25</v>
      </c>
      <c r="I83" t="s" s="17">
        <v>26</v>
      </c>
      <c r="J83" t="s" s="17">
        <v>61</v>
      </c>
      <c r="K83" s="18"/>
      <c r="L83" s="18"/>
      <c r="M83" s="18"/>
      <c r="N83" s="18"/>
      <c r="O83" s="21"/>
      <c r="P83" s="21"/>
      <c r="Q83" s="21"/>
      <c r="R83" s="21"/>
      <c r="S83" s="21"/>
      <c r="T83" s="21"/>
    </row>
    <row r="84" ht="30" customHeight="1">
      <c r="A84" t="s" s="15">
        <v>355</v>
      </c>
      <c r="B84" s="16">
        <v>2016</v>
      </c>
      <c r="C84" t="s" s="15">
        <v>352</v>
      </c>
      <c r="D84" t="s" s="17">
        <v>356</v>
      </c>
      <c r="E84" t="s" s="17">
        <v>357</v>
      </c>
      <c r="F84" s="18"/>
      <c r="G84" s="19">
        <v>3</v>
      </c>
      <c r="H84" t="s" s="20">
        <v>46</v>
      </c>
      <c r="I84" t="s" s="17">
        <v>42</v>
      </c>
      <c r="J84" s="18"/>
      <c r="K84" t="s" s="17">
        <v>43</v>
      </c>
      <c r="L84" t="s" s="17">
        <v>42</v>
      </c>
      <c r="M84" t="s" s="17">
        <v>44</v>
      </c>
      <c r="N84" s="18"/>
      <c r="O84" s="21"/>
      <c r="P84" t="s" s="20">
        <v>25</v>
      </c>
      <c r="Q84" s="21"/>
      <c r="R84" s="21"/>
      <c r="S84" s="21"/>
      <c r="T84" s="21"/>
    </row>
    <row r="85" ht="26.55" customHeight="1">
      <c r="A85" t="s" s="15">
        <v>358</v>
      </c>
      <c r="B85" s="16">
        <v>2018</v>
      </c>
      <c r="C85" t="s" s="15">
        <v>359</v>
      </c>
      <c r="D85" t="s" s="17">
        <v>360</v>
      </c>
      <c r="E85" t="s" s="17">
        <v>361</v>
      </c>
      <c r="F85" s="18"/>
      <c r="G85" s="19">
        <v>2</v>
      </c>
      <c r="H85" t="s" s="20">
        <v>25</v>
      </c>
      <c r="I85" t="s" s="17">
        <v>26</v>
      </c>
      <c r="J85" t="s" s="17">
        <v>31</v>
      </c>
      <c r="K85" s="18"/>
      <c r="L85" s="18"/>
      <c r="M85" s="18"/>
      <c r="N85" s="18"/>
      <c r="O85" s="21"/>
      <c r="P85" s="21"/>
      <c r="Q85" s="21"/>
      <c r="R85" s="21"/>
      <c r="S85" s="21"/>
      <c r="T85" s="21"/>
    </row>
    <row r="86" ht="30" customHeight="1">
      <c r="A86" t="s" s="15">
        <v>362</v>
      </c>
      <c r="B86" s="16">
        <v>2012</v>
      </c>
      <c r="C86" t="s" s="15">
        <v>363</v>
      </c>
      <c r="D86" t="s" s="17">
        <v>364</v>
      </c>
      <c r="E86" t="s" s="17">
        <v>365</v>
      </c>
      <c r="F86" s="18"/>
      <c r="G86" s="19">
        <v>3</v>
      </c>
      <c r="H86" t="s" s="20">
        <v>46</v>
      </c>
      <c r="I86" t="s" s="17">
        <v>26</v>
      </c>
      <c r="J86" t="s" s="17">
        <v>85</v>
      </c>
      <c r="K86" t="s" s="17">
        <v>366</v>
      </c>
      <c r="L86" s="18"/>
      <c r="M86" s="18"/>
      <c r="N86" s="18"/>
      <c r="O86" s="21"/>
      <c r="P86" s="21"/>
      <c r="Q86" s="21"/>
      <c r="R86" s="21"/>
      <c r="S86" s="21"/>
      <c r="T86" s="21"/>
    </row>
    <row r="87" ht="30" customHeight="1">
      <c r="A87" t="s" s="15">
        <v>367</v>
      </c>
      <c r="B87" s="16">
        <v>2013</v>
      </c>
      <c r="C87" t="s" s="15">
        <v>363</v>
      </c>
      <c r="D87" t="s" s="17">
        <v>368</v>
      </c>
      <c r="E87" t="s" s="17">
        <v>369</v>
      </c>
      <c r="F87" s="18"/>
      <c r="G87" s="19">
        <v>2</v>
      </c>
      <c r="H87" t="s" s="20">
        <v>25</v>
      </c>
      <c r="I87" t="s" s="17">
        <v>42</v>
      </c>
      <c r="J87" t="s" s="17">
        <v>31</v>
      </c>
      <c r="K87" t="s" s="17">
        <v>245</v>
      </c>
      <c r="L87" s="18"/>
      <c r="M87" s="18"/>
      <c r="N87" s="18"/>
      <c r="O87" s="21"/>
      <c r="P87" s="21"/>
      <c r="Q87" s="21"/>
      <c r="R87" s="21"/>
      <c r="S87" s="21"/>
      <c r="T87" s="21"/>
    </row>
    <row r="88" ht="26.55" customHeight="1">
      <c r="A88" t="s" s="15">
        <v>370</v>
      </c>
      <c r="B88" s="16">
        <v>2023</v>
      </c>
      <c r="C88" t="s" s="15">
        <v>371</v>
      </c>
      <c r="D88" t="s" s="17">
        <v>372</v>
      </c>
      <c r="E88" t="s" s="17">
        <v>373</v>
      </c>
      <c r="F88" s="18"/>
      <c r="G88" s="19">
        <v>3</v>
      </c>
      <c r="H88" t="s" s="20">
        <v>46</v>
      </c>
      <c r="I88" t="s" s="17">
        <v>26</v>
      </c>
      <c r="J88" t="s" s="17">
        <v>85</v>
      </c>
      <c r="K88" t="s" s="17">
        <v>32</v>
      </c>
      <c r="L88" s="18"/>
      <c r="M88" s="18"/>
      <c r="N88" s="18"/>
      <c r="O88" s="21"/>
      <c r="P88" s="21"/>
      <c r="Q88" s="21"/>
      <c r="R88" s="21"/>
      <c r="S88" s="21"/>
      <c r="T88" s="21"/>
    </row>
    <row r="89" ht="39.55" customHeight="1">
      <c r="A89" t="s" s="15">
        <v>374</v>
      </c>
      <c r="B89" s="16">
        <v>2005</v>
      </c>
      <c r="C89" t="s" s="15">
        <v>375</v>
      </c>
      <c r="D89" t="s" s="17">
        <v>376</v>
      </c>
      <c r="E89" t="s" s="17">
        <v>377</v>
      </c>
      <c r="F89" s="18"/>
      <c r="G89" s="19">
        <v>2</v>
      </c>
      <c r="H89" t="s" s="20">
        <v>25</v>
      </c>
      <c r="I89" t="s" s="17">
        <v>42</v>
      </c>
      <c r="J89" t="s" s="17">
        <v>31</v>
      </c>
      <c r="K89" t="s" s="17">
        <v>245</v>
      </c>
      <c r="L89" s="18"/>
      <c r="M89" s="18"/>
      <c r="N89" s="18"/>
      <c r="O89" s="21"/>
      <c r="P89" s="21"/>
      <c r="Q89" s="21"/>
      <c r="R89" s="21"/>
      <c r="S89" s="21"/>
      <c r="T89" s="21"/>
    </row>
    <row r="90" ht="30" customHeight="1">
      <c r="A90" t="s" s="15">
        <v>378</v>
      </c>
      <c r="B90" s="16">
        <v>2011</v>
      </c>
      <c r="C90" t="s" s="15">
        <v>379</v>
      </c>
      <c r="D90" t="s" s="17">
        <v>380</v>
      </c>
      <c r="E90" t="s" s="17">
        <v>381</v>
      </c>
      <c r="F90" s="18"/>
      <c r="G90" s="19">
        <v>2</v>
      </c>
      <c r="H90" t="s" s="20">
        <v>25</v>
      </c>
      <c r="I90" t="s" s="17">
        <v>26</v>
      </c>
      <c r="J90" t="s" s="17">
        <v>102</v>
      </c>
      <c r="K90" s="18"/>
      <c r="L90" s="18"/>
      <c r="M90" s="18"/>
      <c r="N90" s="18"/>
      <c r="O90" s="21"/>
      <c r="P90" s="21"/>
      <c r="Q90" s="21"/>
      <c r="R90" s="21"/>
      <c r="S90" s="21"/>
      <c r="T90" s="21"/>
    </row>
    <row r="91" ht="30" customHeight="1">
      <c r="A91" t="s" s="15">
        <v>382</v>
      </c>
      <c r="B91" s="16">
        <v>2016</v>
      </c>
      <c r="C91" t="s" s="15">
        <v>383</v>
      </c>
      <c r="D91" t="s" s="17">
        <v>384</v>
      </c>
      <c r="E91" t="s" s="17">
        <v>385</v>
      </c>
      <c r="F91" s="18"/>
      <c r="G91" s="19">
        <v>2</v>
      </c>
      <c r="H91" t="s" s="20">
        <v>25</v>
      </c>
      <c r="I91" t="s" s="17">
        <v>26</v>
      </c>
      <c r="J91" t="s" s="17">
        <v>386</v>
      </c>
      <c r="K91" t="s" s="17">
        <v>245</v>
      </c>
      <c r="L91" s="18"/>
      <c r="M91" s="18"/>
      <c r="N91" s="18"/>
      <c r="O91" s="21"/>
      <c r="P91" s="21"/>
      <c r="Q91" s="21"/>
      <c r="R91" s="21"/>
      <c r="S91" s="21"/>
      <c r="T91" s="21"/>
    </row>
    <row r="92" ht="30" customHeight="1">
      <c r="A92" t="s" s="15">
        <v>387</v>
      </c>
      <c r="B92" s="16">
        <v>2019</v>
      </c>
      <c r="C92" t="s" s="15">
        <v>388</v>
      </c>
      <c r="D92" t="s" s="17">
        <v>389</v>
      </c>
      <c r="E92" t="s" s="17">
        <v>390</v>
      </c>
      <c r="F92" s="18"/>
      <c r="G92" s="19">
        <v>3</v>
      </c>
      <c r="H92" t="s" s="20">
        <v>46</v>
      </c>
      <c r="I92" t="s" s="17">
        <v>42</v>
      </c>
      <c r="J92" s="18"/>
      <c r="K92" t="s" s="17">
        <v>293</v>
      </c>
      <c r="L92" t="s" s="17">
        <v>26</v>
      </c>
      <c r="M92" s="18"/>
      <c r="N92" t="s" s="17">
        <v>391</v>
      </c>
      <c r="O92" t="s" s="20">
        <v>392</v>
      </c>
      <c r="P92" s="21"/>
      <c r="Q92" s="21"/>
      <c r="R92" s="21"/>
      <c r="S92" s="21"/>
      <c r="T92" s="21"/>
    </row>
    <row r="93" ht="13.55" customHeight="1">
      <c r="A93" t="s" s="15">
        <v>393</v>
      </c>
      <c r="B93" s="16">
        <v>2010</v>
      </c>
      <c r="C93" t="s" s="15">
        <v>394</v>
      </c>
      <c r="D93" t="s" s="17">
        <v>395</v>
      </c>
      <c r="E93" t="s" s="17">
        <v>396</v>
      </c>
      <c r="F93" s="18"/>
      <c r="G93" s="19">
        <v>2</v>
      </c>
      <c r="H93" t="s" s="20">
        <v>25</v>
      </c>
      <c r="I93" t="s" s="17">
        <v>26</v>
      </c>
      <c r="J93" t="s" s="17">
        <v>31</v>
      </c>
      <c r="K93" s="18"/>
      <c r="L93" s="18"/>
      <c r="M93" s="18"/>
      <c r="N93" s="18"/>
      <c r="O93" s="21"/>
      <c r="P93" s="21"/>
      <c r="Q93" s="21"/>
      <c r="R93" s="21"/>
      <c r="S93" s="21"/>
      <c r="T93" s="21"/>
    </row>
    <row r="94" ht="30" customHeight="1">
      <c r="A94" t="s" s="15">
        <v>397</v>
      </c>
      <c r="B94" s="16">
        <v>2023</v>
      </c>
      <c r="C94" t="s" s="15">
        <v>398</v>
      </c>
      <c r="D94" t="s" s="17">
        <v>399</v>
      </c>
      <c r="E94" t="s" s="17">
        <v>400</v>
      </c>
      <c r="F94" s="18"/>
      <c r="G94" s="19">
        <v>2</v>
      </c>
      <c r="H94" t="s" s="20">
        <v>25</v>
      </c>
      <c r="I94" t="s" s="17">
        <v>26</v>
      </c>
      <c r="J94" t="s" s="17">
        <v>102</v>
      </c>
      <c r="K94" s="18"/>
      <c r="L94" s="18"/>
      <c r="M94" s="18"/>
      <c r="N94" s="18"/>
      <c r="O94" s="21"/>
      <c r="P94" s="21"/>
      <c r="Q94" s="21"/>
      <c r="R94" s="21"/>
      <c r="S94" s="21"/>
      <c r="T94" s="21"/>
    </row>
    <row r="95" ht="39.55" customHeight="1">
      <c r="A95" t="s" s="15">
        <v>401</v>
      </c>
      <c r="B95" s="16">
        <v>2013</v>
      </c>
      <c r="C95" t="s" s="15">
        <v>402</v>
      </c>
      <c r="D95" t="s" s="17">
        <v>403</v>
      </c>
      <c r="E95" t="s" s="17">
        <v>404</v>
      </c>
      <c r="F95" s="18"/>
      <c r="G95" s="19">
        <v>2</v>
      </c>
      <c r="H95" t="s" s="20">
        <v>25</v>
      </c>
      <c r="I95" t="s" s="17">
        <v>26</v>
      </c>
      <c r="J95" t="s" s="17">
        <v>405</v>
      </c>
      <c r="K95" s="18"/>
      <c r="L95" s="18"/>
      <c r="M95" s="18"/>
      <c r="N95" s="18"/>
      <c r="O95" s="21"/>
      <c r="P95" s="21"/>
      <c r="Q95" s="21"/>
      <c r="R95" s="21"/>
      <c r="S95" s="21"/>
      <c r="T95" s="21"/>
    </row>
    <row r="96" ht="30" customHeight="1">
      <c r="A96" t="s" s="15">
        <v>406</v>
      </c>
      <c r="B96" s="16">
        <v>2010</v>
      </c>
      <c r="C96" t="s" s="15">
        <v>407</v>
      </c>
      <c r="D96" t="s" s="17">
        <v>408</v>
      </c>
      <c r="E96" t="s" s="17">
        <v>409</v>
      </c>
      <c r="F96" s="18"/>
      <c r="G96" s="19">
        <v>2</v>
      </c>
      <c r="H96" t="s" s="20">
        <v>25</v>
      </c>
      <c r="I96" t="s" s="17">
        <v>26</v>
      </c>
      <c r="J96" t="s" s="17">
        <v>405</v>
      </c>
      <c r="K96" s="18"/>
      <c r="L96" s="18"/>
      <c r="M96" s="18"/>
      <c r="N96" s="18"/>
      <c r="O96" s="21"/>
      <c r="P96" s="21"/>
      <c r="Q96" s="21"/>
      <c r="R96" s="21"/>
      <c r="S96" s="21"/>
      <c r="T96" s="21"/>
    </row>
    <row r="97" ht="30" customHeight="1">
      <c r="A97" t="s" s="15">
        <v>410</v>
      </c>
      <c r="B97" s="16">
        <v>2006</v>
      </c>
      <c r="C97" t="s" s="15">
        <v>411</v>
      </c>
      <c r="D97" t="s" s="17">
        <v>412</v>
      </c>
      <c r="E97" t="s" s="17">
        <v>413</v>
      </c>
      <c r="F97" s="18"/>
      <c r="G97" s="19">
        <v>3</v>
      </c>
      <c r="H97" t="s" s="20">
        <v>46</v>
      </c>
      <c r="I97" t="s" s="17">
        <v>26</v>
      </c>
      <c r="J97" t="s" s="17">
        <v>31</v>
      </c>
      <c r="K97" s="18"/>
      <c r="L97" s="18"/>
      <c r="M97" s="18"/>
      <c r="N97" s="18"/>
      <c r="O97" s="21"/>
      <c r="P97" s="21"/>
      <c r="Q97" s="21"/>
      <c r="R97" s="21"/>
      <c r="S97" s="21"/>
      <c r="T97" s="21"/>
    </row>
    <row r="98" ht="45" customHeight="1">
      <c r="A98" t="s" s="15">
        <v>414</v>
      </c>
      <c r="B98" s="16">
        <v>2013</v>
      </c>
      <c r="C98" t="s" s="15">
        <v>411</v>
      </c>
      <c r="D98" t="s" s="17">
        <v>415</v>
      </c>
      <c r="E98" t="s" s="17">
        <v>416</v>
      </c>
      <c r="F98" s="18"/>
      <c r="G98" s="19">
        <v>2</v>
      </c>
      <c r="H98" t="s" s="20">
        <v>25</v>
      </c>
      <c r="I98" t="s" s="17">
        <v>26</v>
      </c>
      <c r="J98" t="s" s="17">
        <v>85</v>
      </c>
      <c r="K98" s="18"/>
      <c r="L98" s="18"/>
      <c r="M98" s="18"/>
      <c r="N98" s="18"/>
      <c r="O98" s="21"/>
      <c r="P98" s="21"/>
      <c r="Q98" s="21"/>
      <c r="R98" s="21"/>
      <c r="S98" s="21"/>
      <c r="T98" s="21"/>
    </row>
    <row r="99" ht="30" customHeight="1">
      <c r="A99" t="s" s="15">
        <v>417</v>
      </c>
      <c r="B99" s="16">
        <v>2021</v>
      </c>
      <c r="C99" t="s" s="15">
        <v>418</v>
      </c>
      <c r="D99" t="s" s="17">
        <v>419</v>
      </c>
      <c r="E99" t="s" s="17">
        <v>420</v>
      </c>
      <c r="F99" t="s" s="17">
        <v>421</v>
      </c>
      <c r="G99" s="19">
        <v>2</v>
      </c>
      <c r="H99" t="s" s="20">
        <v>25</v>
      </c>
      <c r="I99" t="s" s="17">
        <v>42</v>
      </c>
      <c r="J99" s="18"/>
      <c r="K99" t="s" s="17">
        <v>422</v>
      </c>
      <c r="L99" t="s" s="17">
        <v>26</v>
      </c>
      <c r="M99" s="18"/>
      <c r="N99" t="s" s="17">
        <v>316</v>
      </c>
      <c r="O99" t="s" s="20">
        <v>423</v>
      </c>
      <c r="P99" s="21"/>
      <c r="Q99" s="21"/>
      <c r="R99" s="21"/>
      <c r="S99" s="21"/>
      <c r="T99" s="21"/>
    </row>
    <row r="100" ht="30" customHeight="1">
      <c r="A100" t="s" s="15">
        <v>424</v>
      </c>
      <c r="B100" s="16">
        <v>2021</v>
      </c>
      <c r="C100" t="s" s="15">
        <v>425</v>
      </c>
      <c r="D100" t="s" s="17">
        <v>426</v>
      </c>
      <c r="E100" t="s" s="17">
        <v>427</v>
      </c>
      <c r="F100" s="18"/>
      <c r="G100" s="19">
        <v>3</v>
      </c>
      <c r="H100" t="s" s="20">
        <v>46</v>
      </c>
      <c r="I100" t="s" s="17">
        <v>26</v>
      </c>
      <c r="J100" t="s" s="17">
        <v>93</v>
      </c>
      <c r="K100" t="s" s="17">
        <v>80</v>
      </c>
      <c r="L100" s="18"/>
      <c r="M100" s="18"/>
      <c r="N100" s="18"/>
      <c r="O100" s="21"/>
      <c r="P100" s="21"/>
      <c r="Q100" s="21"/>
      <c r="R100" s="21"/>
      <c r="S100" s="21"/>
      <c r="T100" s="21"/>
    </row>
    <row r="101" ht="30" customHeight="1">
      <c r="A101" t="s" s="15">
        <v>428</v>
      </c>
      <c r="B101" s="16">
        <v>2012</v>
      </c>
      <c r="C101" t="s" s="15">
        <v>429</v>
      </c>
      <c r="D101" t="s" s="17">
        <v>430</v>
      </c>
      <c r="E101" t="s" s="17">
        <v>431</v>
      </c>
      <c r="F101" s="18"/>
      <c r="G101" s="19">
        <v>3</v>
      </c>
      <c r="H101" t="s" s="20">
        <v>46</v>
      </c>
      <c r="I101" t="s" s="17">
        <v>42</v>
      </c>
      <c r="J101" s="18"/>
      <c r="K101" t="s" s="17">
        <v>293</v>
      </c>
      <c r="L101" t="s" s="17">
        <v>42</v>
      </c>
      <c r="M101" t="s" s="17">
        <v>44</v>
      </c>
      <c r="N101" s="18"/>
      <c r="O101" s="21"/>
      <c r="P101" t="s" s="20">
        <v>25</v>
      </c>
      <c r="Q101" s="21"/>
      <c r="R101" s="21"/>
      <c r="S101" s="21"/>
      <c r="T101" s="21"/>
    </row>
    <row r="102" ht="26.55" customHeight="1">
      <c r="A102" t="s" s="15">
        <v>432</v>
      </c>
      <c r="B102" s="16">
        <v>2011</v>
      </c>
      <c r="C102" t="s" s="15">
        <v>433</v>
      </c>
      <c r="D102" t="s" s="17">
        <v>434</v>
      </c>
      <c r="E102" t="s" s="17">
        <v>435</v>
      </c>
      <c r="F102" s="18"/>
      <c r="G102" s="19">
        <v>2</v>
      </c>
      <c r="H102" t="s" s="20">
        <v>25</v>
      </c>
      <c r="I102" t="s" s="17">
        <v>26</v>
      </c>
      <c r="J102" t="s" s="17">
        <v>436</v>
      </c>
      <c r="K102" s="18"/>
      <c r="L102" s="18"/>
      <c r="M102" s="18"/>
      <c r="N102" s="18"/>
      <c r="O102" s="21"/>
      <c r="P102" s="21"/>
      <c r="Q102" s="21"/>
      <c r="R102" s="21"/>
      <c r="S102" s="21"/>
      <c r="T102" s="21"/>
    </row>
    <row r="103" ht="30" customHeight="1">
      <c r="A103" t="s" s="15">
        <v>437</v>
      </c>
      <c r="B103" s="16">
        <v>2015</v>
      </c>
      <c r="C103" t="s" s="15">
        <v>438</v>
      </c>
      <c r="D103" t="s" s="17">
        <v>439</v>
      </c>
      <c r="E103" t="s" s="17">
        <v>440</v>
      </c>
      <c r="F103" s="18"/>
      <c r="G103" s="19">
        <v>2</v>
      </c>
      <c r="H103" t="s" s="20">
        <v>25</v>
      </c>
      <c r="I103" t="s" s="17">
        <v>26</v>
      </c>
      <c r="J103" t="s" s="17">
        <v>178</v>
      </c>
      <c r="K103" s="18"/>
      <c r="L103" s="18"/>
      <c r="M103" s="18"/>
      <c r="N103" s="18"/>
      <c r="O103" s="21"/>
      <c r="P103" s="21"/>
      <c r="Q103" s="21"/>
      <c r="R103" s="21"/>
      <c r="S103" s="21"/>
      <c r="T103" s="21"/>
    </row>
    <row r="104" ht="26.55" customHeight="1">
      <c r="A104" t="s" s="15">
        <v>441</v>
      </c>
      <c r="B104" s="16">
        <v>2015</v>
      </c>
      <c r="C104" t="s" s="15">
        <v>442</v>
      </c>
      <c r="D104" t="s" s="17">
        <v>443</v>
      </c>
      <c r="E104" t="s" s="17">
        <v>444</v>
      </c>
      <c r="F104" s="18"/>
      <c r="G104" s="19">
        <v>3</v>
      </c>
      <c r="H104" t="s" s="20">
        <v>46</v>
      </c>
      <c r="I104" t="s" s="17">
        <v>26</v>
      </c>
      <c r="J104" t="s" s="17">
        <v>131</v>
      </c>
      <c r="K104" s="18"/>
      <c r="L104" s="18"/>
      <c r="M104" s="18"/>
      <c r="N104" s="18"/>
      <c r="O104" s="21"/>
      <c r="P104" s="21"/>
      <c r="Q104" s="21"/>
      <c r="R104" s="21"/>
      <c r="S104" s="21"/>
      <c r="T104" s="21"/>
    </row>
    <row r="105" ht="45" customHeight="1">
      <c r="A105" t="s" s="15">
        <v>445</v>
      </c>
      <c r="B105" s="16">
        <v>2013</v>
      </c>
      <c r="C105" t="s" s="15">
        <v>446</v>
      </c>
      <c r="D105" t="s" s="17">
        <v>447</v>
      </c>
      <c r="E105" t="s" s="17">
        <v>448</v>
      </c>
      <c r="F105" s="18"/>
      <c r="G105" s="19">
        <v>3</v>
      </c>
      <c r="H105" t="s" s="20">
        <v>46</v>
      </c>
      <c r="I105" t="s" s="17">
        <v>42</v>
      </c>
      <c r="J105" s="18"/>
      <c r="K105" t="s" s="17">
        <v>43</v>
      </c>
      <c r="L105" t="s" s="17">
        <v>42</v>
      </c>
      <c r="M105" t="s" s="17">
        <v>44</v>
      </c>
      <c r="N105" s="18"/>
      <c r="O105" s="21"/>
      <c r="P105" t="s" s="20">
        <v>46</v>
      </c>
      <c r="Q105" t="s" s="20">
        <v>47</v>
      </c>
      <c r="R105" t="s" s="20">
        <v>449</v>
      </c>
      <c r="S105" t="s" s="20">
        <v>47</v>
      </c>
      <c r="T105" s="21"/>
    </row>
    <row r="106" ht="30" customHeight="1">
      <c r="A106" t="s" s="15">
        <v>450</v>
      </c>
      <c r="B106" s="16">
        <v>2021</v>
      </c>
      <c r="C106" t="s" s="15">
        <v>451</v>
      </c>
      <c r="D106" t="s" s="17">
        <v>452</v>
      </c>
      <c r="E106" t="s" s="17">
        <v>453</v>
      </c>
      <c r="F106" s="18"/>
      <c r="G106" s="19">
        <v>3</v>
      </c>
      <c r="H106" t="s" s="20">
        <v>46</v>
      </c>
      <c r="I106" t="s" s="17">
        <v>26</v>
      </c>
      <c r="J106" t="s" s="17">
        <v>61</v>
      </c>
      <c r="K106" t="s" s="17">
        <v>454</v>
      </c>
      <c r="L106" s="18"/>
      <c r="M106" s="18"/>
      <c r="N106" s="18"/>
      <c r="O106" s="21"/>
      <c r="P106" s="21"/>
      <c r="Q106" s="21"/>
      <c r="R106" s="21"/>
      <c r="S106" s="21"/>
      <c r="T106" s="21"/>
    </row>
    <row r="107" ht="30" customHeight="1">
      <c r="A107" t="s" s="15">
        <v>455</v>
      </c>
      <c r="B107" s="16">
        <v>2019</v>
      </c>
      <c r="C107" t="s" s="15">
        <v>456</v>
      </c>
      <c r="D107" t="s" s="17">
        <v>457</v>
      </c>
      <c r="E107" t="s" s="17">
        <v>458</v>
      </c>
      <c r="F107" s="18"/>
      <c r="G107" s="19">
        <v>2</v>
      </c>
      <c r="H107" t="s" s="20">
        <v>25</v>
      </c>
      <c r="I107" t="s" s="17">
        <v>26</v>
      </c>
      <c r="J107" t="s" s="17">
        <v>386</v>
      </c>
      <c r="K107" s="18"/>
      <c r="L107" s="18"/>
      <c r="M107" s="18"/>
      <c r="N107" s="18"/>
      <c r="O107" s="21"/>
      <c r="P107" s="21"/>
      <c r="Q107" s="21"/>
      <c r="R107" s="21"/>
      <c r="S107" s="21"/>
      <c r="T107" s="21"/>
    </row>
    <row r="108" ht="30" customHeight="1">
      <c r="A108" t="s" s="15">
        <v>459</v>
      </c>
      <c r="B108" s="16">
        <v>2008</v>
      </c>
      <c r="C108" t="s" s="15">
        <v>460</v>
      </c>
      <c r="D108" t="s" s="17">
        <v>461</v>
      </c>
      <c r="E108" t="s" s="17">
        <v>462</v>
      </c>
      <c r="F108" s="18"/>
      <c r="G108" s="19">
        <v>2</v>
      </c>
      <c r="H108" t="s" s="20">
        <v>25</v>
      </c>
      <c r="I108" t="s" s="17">
        <v>26</v>
      </c>
      <c r="J108" t="s" s="17">
        <v>178</v>
      </c>
      <c r="K108" s="18"/>
      <c r="L108" s="18"/>
      <c r="M108" s="18"/>
      <c r="N108" s="18"/>
      <c r="O108" s="21"/>
      <c r="P108" s="21"/>
      <c r="Q108" s="21"/>
      <c r="R108" s="21"/>
      <c r="S108" s="21"/>
      <c r="T108" s="21"/>
    </row>
    <row r="109" ht="30" customHeight="1">
      <c r="A109" t="s" s="15">
        <v>463</v>
      </c>
      <c r="B109" s="16">
        <v>2015</v>
      </c>
      <c r="C109" t="s" s="15">
        <v>464</v>
      </c>
      <c r="D109" t="s" s="17">
        <v>465</v>
      </c>
      <c r="E109" t="s" s="17">
        <v>466</v>
      </c>
      <c r="F109" s="18"/>
      <c r="G109" s="19">
        <v>3</v>
      </c>
      <c r="H109" t="s" s="20">
        <v>46</v>
      </c>
      <c r="I109" t="s" s="17">
        <v>26</v>
      </c>
      <c r="J109" t="s" s="17">
        <v>85</v>
      </c>
      <c r="K109" t="s" s="17">
        <v>467</v>
      </c>
      <c r="L109" s="18"/>
      <c r="M109" s="18"/>
      <c r="N109" s="18"/>
      <c r="O109" s="21"/>
      <c r="P109" s="21"/>
      <c r="Q109" s="21"/>
      <c r="R109" s="21"/>
      <c r="S109" s="21"/>
      <c r="T109" s="21"/>
    </row>
    <row r="110" ht="30" customHeight="1">
      <c r="A110" t="s" s="15">
        <v>468</v>
      </c>
      <c r="B110" s="16">
        <v>2017</v>
      </c>
      <c r="C110" t="s" s="15">
        <v>469</v>
      </c>
      <c r="D110" t="s" s="17">
        <v>470</v>
      </c>
      <c r="E110" t="s" s="17">
        <v>471</v>
      </c>
      <c r="F110" s="18"/>
      <c r="G110" s="19">
        <v>2</v>
      </c>
      <c r="H110" t="s" s="20">
        <v>25</v>
      </c>
      <c r="I110" t="s" s="17">
        <v>26</v>
      </c>
      <c r="J110" t="s" s="17">
        <v>61</v>
      </c>
      <c r="K110" s="18"/>
      <c r="L110" s="18"/>
      <c r="M110" s="18"/>
      <c r="N110" s="18"/>
      <c r="O110" s="21"/>
      <c r="P110" s="21"/>
      <c r="Q110" s="21"/>
      <c r="R110" s="21"/>
      <c r="S110" s="21"/>
      <c r="T110" s="21"/>
    </row>
    <row r="111" ht="26.55" customHeight="1">
      <c r="A111" t="s" s="15">
        <v>472</v>
      </c>
      <c r="B111" s="16">
        <v>2022</v>
      </c>
      <c r="C111" t="s" s="15">
        <v>473</v>
      </c>
      <c r="D111" t="s" s="17">
        <v>474</v>
      </c>
      <c r="E111" t="s" s="17">
        <v>475</v>
      </c>
      <c r="F111" s="18"/>
      <c r="G111" s="19">
        <v>2</v>
      </c>
      <c r="H111" t="s" s="20">
        <v>25</v>
      </c>
      <c r="I111" t="s" s="17">
        <v>26</v>
      </c>
      <c r="J111" t="s" s="17">
        <v>66</v>
      </c>
      <c r="K111" s="18"/>
      <c r="L111" s="18"/>
      <c r="M111" s="18"/>
      <c r="N111" s="18"/>
      <c r="O111" s="21"/>
      <c r="P111" s="21"/>
      <c r="Q111" s="21"/>
      <c r="R111" s="21"/>
      <c r="S111" s="21"/>
      <c r="T111" s="21"/>
    </row>
    <row r="112" ht="26.55" customHeight="1">
      <c r="A112" t="s" s="15">
        <v>476</v>
      </c>
      <c r="B112" s="16">
        <v>2022</v>
      </c>
      <c r="C112" t="s" s="15">
        <v>477</v>
      </c>
      <c r="D112" t="s" s="17">
        <v>478</v>
      </c>
      <c r="E112" t="s" s="17">
        <v>479</v>
      </c>
      <c r="F112" s="18"/>
      <c r="G112" s="19">
        <v>2</v>
      </c>
      <c r="H112" t="s" s="20">
        <v>25</v>
      </c>
      <c r="I112" t="s" s="17">
        <v>26</v>
      </c>
      <c r="J112" t="s" s="17">
        <v>27</v>
      </c>
      <c r="K112" s="18"/>
      <c r="L112" s="18"/>
      <c r="M112" s="18"/>
      <c r="N112" s="18"/>
      <c r="O112" s="21"/>
      <c r="P112" s="21"/>
      <c r="Q112" s="21"/>
      <c r="R112" s="21"/>
      <c r="S112" s="21"/>
      <c r="T112" s="21"/>
    </row>
    <row r="113" ht="30" customHeight="1">
      <c r="A113" t="s" s="15">
        <v>480</v>
      </c>
      <c r="B113" s="16">
        <v>2011</v>
      </c>
      <c r="C113" t="s" s="15">
        <v>481</v>
      </c>
      <c r="D113" t="s" s="17">
        <v>482</v>
      </c>
      <c r="E113" t="s" s="17">
        <v>483</v>
      </c>
      <c r="F113" s="18"/>
      <c r="G113" s="19">
        <v>2</v>
      </c>
      <c r="H113" t="s" s="20">
        <v>25</v>
      </c>
      <c r="I113" t="s" s="17">
        <v>26</v>
      </c>
      <c r="J113" t="s" s="17">
        <v>131</v>
      </c>
      <c r="K113" s="18"/>
      <c r="L113" s="18"/>
      <c r="M113" s="18"/>
      <c r="N113" s="18"/>
      <c r="O113" s="21"/>
      <c r="P113" s="21"/>
      <c r="Q113" s="21"/>
      <c r="R113" s="21"/>
      <c r="S113" s="21"/>
      <c r="T113" s="21"/>
    </row>
    <row r="114" ht="39.55" customHeight="1">
      <c r="A114" t="s" s="15">
        <v>484</v>
      </c>
      <c r="B114" s="16">
        <v>2016</v>
      </c>
      <c r="C114" t="s" s="15">
        <v>485</v>
      </c>
      <c r="D114" t="s" s="17">
        <v>486</v>
      </c>
      <c r="E114" t="s" s="17">
        <v>487</v>
      </c>
      <c r="F114" s="18"/>
      <c r="G114" s="19">
        <v>2</v>
      </c>
      <c r="H114" t="s" s="20">
        <v>25</v>
      </c>
      <c r="I114" t="s" s="17">
        <v>26</v>
      </c>
      <c r="J114" t="s" s="17">
        <v>66</v>
      </c>
      <c r="K114" s="18"/>
      <c r="L114" s="18"/>
      <c r="M114" s="18"/>
      <c r="N114" s="18"/>
      <c r="O114" s="21"/>
      <c r="P114" s="21"/>
      <c r="Q114" s="21"/>
      <c r="R114" s="21"/>
      <c r="S114" s="21"/>
      <c r="T114" s="21"/>
    </row>
    <row r="115" ht="30" customHeight="1">
      <c r="A115" t="s" s="15">
        <v>488</v>
      </c>
      <c r="B115" s="16">
        <v>2019</v>
      </c>
      <c r="C115" t="s" s="15">
        <v>485</v>
      </c>
      <c r="D115" t="s" s="17">
        <v>489</v>
      </c>
      <c r="E115" t="s" s="17">
        <v>490</v>
      </c>
      <c r="F115" s="18"/>
      <c r="G115" s="19">
        <v>3</v>
      </c>
      <c r="H115" t="s" s="20">
        <v>46</v>
      </c>
      <c r="I115" t="s" s="17">
        <v>26</v>
      </c>
      <c r="J115" t="s" s="17">
        <v>93</v>
      </c>
      <c r="K115" s="18"/>
      <c r="L115" s="18"/>
      <c r="M115" s="18"/>
      <c r="N115" s="18"/>
      <c r="O115" s="21"/>
      <c r="P115" s="21"/>
      <c r="Q115" s="21"/>
      <c r="R115" s="21"/>
      <c r="S115" s="21"/>
      <c r="T115" s="21"/>
    </row>
    <row r="116" ht="30" customHeight="1">
      <c r="A116" t="s" s="15">
        <v>491</v>
      </c>
      <c r="B116" s="16">
        <v>2021</v>
      </c>
      <c r="C116" t="s" s="15">
        <v>485</v>
      </c>
      <c r="D116" t="s" s="17">
        <v>492</v>
      </c>
      <c r="E116" t="s" s="17">
        <v>493</v>
      </c>
      <c r="F116" s="18"/>
      <c r="G116" s="19">
        <v>2</v>
      </c>
      <c r="H116" t="s" s="20">
        <v>25</v>
      </c>
      <c r="I116" t="s" s="17">
        <v>42</v>
      </c>
      <c r="J116" s="18"/>
      <c r="K116" t="s" s="17">
        <v>293</v>
      </c>
      <c r="L116" t="s" s="17">
        <v>42</v>
      </c>
      <c r="M116" t="s" s="17">
        <v>44</v>
      </c>
      <c r="N116" s="18"/>
      <c r="O116" s="21"/>
      <c r="P116" t="s" s="20">
        <v>25</v>
      </c>
      <c r="Q116" s="21"/>
      <c r="R116" s="21"/>
      <c r="S116" s="21"/>
      <c r="T116" s="21"/>
    </row>
    <row r="117" ht="45" customHeight="1">
      <c r="A117" t="s" s="15">
        <v>494</v>
      </c>
      <c r="B117" s="16">
        <v>2023</v>
      </c>
      <c r="C117" t="s" s="15">
        <v>485</v>
      </c>
      <c r="D117" t="s" s="17">
        <v>495</v>
      </c>
      <c r="E117" t="s" s="17">
        <v>496</v>
      </c>
      <c r="F117" s="18"/>
      <c r="G117" s="19">
        <v>2</v>
      </c>
      <c r="H117" t="s" s="20">
        <v>25</v>
      </c>
      <c r="I117" t="s" s="17">
        <v>26</v>
      </c>
      <c r="J117" t="s" s="17">
        <v>66</v>
      </c>
      <c r="K117" s="18"/>
      <c r="L117" s="18"/>
      <c r="M117" s="18"/>
      <c r="N117" s="18"/>
      <c r="O117" s="21"/>
      <c r="P117" s="21"/>
      <c r="Q117" s="21"/>
      <c r="R117" s="21"/>
      <c r="S117" s="21"/>
      <c r="T117" s="21"/>
    </row>
    <row r="118" ht="26.55" customHeight="1">
      <c r="A118" t="s" s="15">
        <v>497</v>
      </c>
      <c r="B118" s="16">
        <v>2017</v>
      </c>
      <c r="C118" t="s" s="15">
        <v>498</v>
      </c>
      <c r="D118" t="s" s="17">
        <v>499</v>
      </c>
      <c r="E118" t="s" s="17">
        <v>500</v>
      </c>
      <c r="F118" s="18"/>
      <c r="G118" s="19">
        <v>3</v>
      </c>
      <c r="H118" t="s" s="20">
        <v>46</v>
      </c>
      <c r="I118" t="s" s="17">
        <v>26</v>
      </c>
      <c r="J118" t="s" s="17">
        <v>31</v>
      </c>
      <c r="K118" t="s" s="17">
        <v>86</v>
      </c>
      <c r="L118" s="18"/>
      <c r="M118" s="18"/>
      <c r="N118" s="18"/>
      <c r="O118" s="21"/>
      <c r="P118" s="21"/>
      <c r="Q118" s="21"/>
      <c r="R118" s="21"/>
      <c r="S118" s="21"/>
      <c r="T118" s="21"/>
    </row>
    <row r="119" ht="30" customHeight="1">
      <c r="A119" t="s" s="15">
        <v>501</v>
      </c>
      <c r="B119" s="16">
        <v>2020</v>
      </c>
      <c r="C119" t="s" s="15">
        <v>502</v>
      </c>
      <c r="D119" t="s" s="17">
        <v>503</v>
      </c>
      <c r="E119" t="s" s="17">
        <v>504</v>
      </c>
      <c r="F119" s="18"/>
      <c r="G119" s="19">
        <v>3</v>
      </c>
      <c r="H119" t="s" s="20">
        <v>46</v>
      </c>
      <c r="I119" t="s" s="17">
        <v>42</v>
      </c>
      <c r="J119" s="18"/>
      <c r="K119" t="s" s="17">
        <v>241</v>
      </c>
      <c r="L119" t="s" s="17">
        <v>42</v>
      </c>
      <c r="M119" t="s" s="17">
        <v>505</v>
      </c>
      <c r="N119" s="18"/>
      <c r="O119" s="21"/>
      <c r="P119" t="s" s="20">
        <v>25</v>
      </c>
      <c r="Q119" s="21"/>
      <c r="R119" s="21"/>
      <c r="S119" s="21"/>
      <c r="T119" s="21"/>
    </row>
    <row r="120" ht="26.55" customHeight="1">
      <c r="A120" t="s" s="15">
        <v>506</v>
      </c>
      <c r="B120" s="16">
        <v>2018</v>
      </c>
      <c r="C120" t="s" s="15">
        <v>507</v>
      </c>
      <c r="D120" t="s" s="17">
        <v>508</v>
      </c>
      <c r="E120" t="s" s="17">
        <v>509</v>
      </c>
      <c r="F120" s="18"/>
      <c r="G120" s="19">
        <v>2</v>
      </c>
      <c r="H120" t="s" s="20">
        <v>25</v>
      </c>
      <c r="I120" t="s" s="17">
        <v>26</v>
      </c>
      <c r="J120" t="s" s="17">
        <v>31</v>
      </c>
      <c r="K120" s="18"/>
      <c r="L120" s="18"/>
      <c r="M120" s="18"/>
      <c r="N120" s="18"/>
      <c r="O120" s="21"/>
      <c r="P120" s="21"/>
      <c r="Q120" s="21"/>
      <c r="R120" s="21"/>
      <c r="S120" s="21"/>
      <c r="T120" s="21"/>
    </row>
    <row r="121" ht="39.55" customHeight="1">
      <c r="A121" t="s" s="15">
        <v>510</v>
      </c>
      <c r="B121" s="16">
        <v>2007</v>
      </c>
      <c r="C121" t="s" s="15">
        <v>511</v>
      </c>
      <c r="D121" t="s" s="17">
        <v>512</v>
      </c>
      <c r="E121" t="s" s="17">
        <v>513</v>
      </c>
      <c r="F121" s="18"/>
      <c r="G121" s="19">
        <v>2</v>
      </c>
      <c r="H121" t="s" s="20">
        <v>25</v>
      </c>
      <c r="I121" t="s" s="17">
        <v>42</v>
      </c>
      <c r="J121" t="s" s="17">
        <v>31</v>
      </c>
      <c r="K121" t="s" s="17">
        <v>262</v>
      </c>
      <c r="L121" s="18"/>
      <c r="M121" s="18"/>
      <c r="N121" s="18"/>
      <c r="O121" s="21"/>
      <c r="P121" s="21"/>
      <c r="Q121" s="21"/>
      <c r="R121" s="21"/>
      <c r="S121" s="21"/>
      <c r="T121" s="21"/>
    </row>
    <row r="122" ht="30" customHeight="1">
      <c r="A122" t="s" s="15">
        <v>514</v>
      </c>
      <c r="B122" s="16">
        <v>2009</v>
      </c>
      <c r="C122" t="s" s="15">
        <v>515</v>
      </c>
      <c r="D122" t="s" s="17">
        <v>516</v>
      </c>
      <c r="E122" t="s" s="17">
        <v>517</v>
      </c>
      <c r="F122" s="18"/>
      <c r="G122" s="19">
        <v>2</v>
      </c>
      <c r="H122" t="s" s="20">
        <v>25</v>
      </c>
      <c r="I122" t="s" s="17">
        <v>26</v>
      </c>
      <c r="J122" t="s" s="17">
        <v>27</v>
      </c>
      <c r="K122" s="18"/>
      <c r="L122" s="18"/>
      <c r="M122" s="18"/>
      <c r="N122" s="18"/>
      <c r="O122" s="21"/>
      <c r="P122" s="21"/>
      <c r="Q122" s="21"/>
      <c r="R122" s="21"/>
      <c r="S122" s="21"/>
      <c r="T122" s="21"/>
    </row>
    <row r="123" ht="30" customHeight="1">
      <c r="A123" t="s" s="15">
        <v>518</v>
      </c>
      <c r="B123" s="16">
        <v>2010</v>
      </c>
      <c r="C123" t="s" s="15">
        <v>515</v>
      </c>
      <c r="D123" t="s" s="17">
        <v>519</v>
      </c>
      <c r="E123" t="s" s="17">
        <v>520</v>
      </c>
      <c r="F123" s="18"/>
      <c r="G123" s="19">
        <v>2</v>
      </c>
      <c r="H123" t="s" s="20">
        <v>25</v>
      </c>
      <c r="I123" t="s" s="17">
        <v>42</v>
      </c>
      <c r="J123" s="18"/>
      <c r="K123" t="s" s="17">
        <v>43</v>
      </c>
      <c r="L123" t="s" s="17">
        <v>26</v>
      </c>
      <c r="M123" t="s" s="17">
        <v>505</v>
      </c>
      <c r="N123" t="s" s="22">
        <v>521</v>
      </c>
      <c r="O123" s="21"/>
      <c r="P123" t="s" s="20">
        <v>46</v>
      </c>
      <c r="Q123" t="s" s="20">
        <v>277</v>
      </c>
      <c r="R123" s="21"/>
      <c r="S123" t="s" s="20">
        <v>277</v>
      </c>
      <c r="T123" s="21"/>
    </row>
    <row r="124" ht="30" customHeight="1">
      <c r="A124" t="s" s="15">
        <v>522</v>
      </c>
      <c r="B124" s="16">
        <v>2013</v>
      </c>
      <c r="C124" t="s" s="15">
        <v>523</v>
      </c>
      <c r="D124" t="s" s="17">
        <v>524</v>
      </c>
      <c r="E124" t="s" s="17">
        <v>525</v>
      </c>
      <c r="F124" s="18"/>
      <c r="G124" s="19">
        <v>2</v>
      </c>
      <c r="H124" t="s" s="20">
        <v>25</v>
      </c>
      <c r="I124" t="s" s="17">
        <v>26</v>
      </c>
      <c r="J124" t="s" s="17">
        <v>85</v>
      </c>
      <c r="K124" s="18"/>
      <c r="L124" s="18"/>
      <c r="M124" s="18"/>
      <c r="N124" s="18"/>
      <c r="O124" s="21"/>
      <c r="P124" s="21"/>
      <c r="Q124" s="21"/>
      <c r="R124" s="21"/>
      <c r="S124" s="21"/>
      <c r="T124" s="21"/>
    </row>
    <row r="125" ht="39.55" customHeight="1">
      <c r="A125" t="s" s="15">
        <v>526</v>
      </c>
      <c r="B125" s="16">
        <v>2014</v>
      </c>
      <c r="C125" t="s" s="15">
        <v>523</v>
      </c>
      <c r="D125" t="s" s="17">
        <v>527</v>
      </c>
      <c r="E125" t="s" s="17">
        <v>528</v>
      </c>
      <c r="F125" s="18"/>
      <c r="G125" s="19">
        <v>3</v>
      </c>
      <c r="H125" t="s" s="20">
        <v>46</v>
      </c>
      <c r="I125" t="s" s="17">
        <v>26</v>
      </c>
      <c r="J125" t="s" s="17">
        <v>61</v>
      </c>
      <c r="K125" t="s" s="17">
        <v>315</v>
      </c>
      <c r="L125" s="18"/>
      <c r="M125" s="18"/>
      <c r="N125" s="18"/>
      <c r="O125" s="21"/>
      <c r="P125" s="21"/>
      <c r="Q125" s="21"/>
      <c r="R125" s="21"/>
      <c r="S125" s="21"/>
      <c r="T125" s="21"/>
    </row>
    <row r="126" ht="45" customHeight="1">
      <c r="A126" t="s" s="15">
        <v>529</v>
      </c>
      <c r="B126" s="16">
        <v>2023</v>
      </c>
      <c r="C126" t="s" s="15">
        <v>530</v>
      </c>
      <c r="D126" t="s" s="17">
        <v>531</v>
      </c>
      <c r="E126" t="s" s="17">
        <v>532</v>
      </c>
      <c r="F126" s="18"/>
      <c r="G126" s="19">
        <v>2</v>
      </c>
      <c r="H126" t="s" s="20">
        <v>25</v>
      </c>
      <c r="I126" t="s" s="17">
        <v>26</v>
      </c>
      <c r="J126" t="s" s="17">
        <v>102</v>
      </c>
      <c r="K126" s="18"/>
      <c r="L126" s="18"/>
      <c r="M126" s="18"/>
      <c r="N126" s="18"/>
      <c r="O126" s="21"/>
      <c r="P126" s="21"/>
      <c r="Q126" s="21"/>
      <c r="R126" s="21"/>
      <c r="S126" s="21"/>
      <c r="T126" s="21"/>
    </row>
    <row r="127" ht="30" customHeight="1">
      <c r="A127" t="s" s="15">
        <v>533</v>
      </c>
      <c r="B127" s="16">
        <v>2015</v>
      </c>
      <c r="C127" t="s" s="15">
        <v>534</v>
      </c>
      <c r="D127" t="s" s="17">
        <v>535</v>
      </c>
      <c r="E127" t="s" s="17">
        <v>536</v>
      </c>
      <c r="F127" s="18"/>
      <c r="G127" s="19">
        <v>2</v>
      </c>
      <c r="H127" t="s" s="20">
        <v>25</v>
      </c>
      <c r="I127" t="s" s="17">
        <v>26</v>
      </c>
      <c r="J127" t="s" s="17">
        <v>131</v>
      </c>
      <c r="K127" s="18"/>
      <c r="L127" s="18"/>
      <c r="M127" s="18"/>
      <c r="N127" s="18"/>
      <c r="O127" s="21"/>
      <c r="P127" s="21"/>
      <c r="Q127" s="21"/>
      <c r="R127" s="21"/>
      <c r="S127" s="21"/>
      <c r="T127" s="21"/>
    </row>
    <row r="128" ht="30" customHeight="1">
      <c r="A128" t="s" s="15">
        <v>537</v>
      </c>
      <c r="B128" s="16">
        <v>2017</v>
      </c>
      <c r="C128" t="s" s="15">
        <v>534</v>
      </c>
      <c r="D128" t="s" s="17">
        <v>538</v>
      </c>
      <c r="E128" t="s" s="17">
        <v>539</v>
      </c>
      <c r="F128" s="18"/>
      <c r="G128" s="19">
        <v>3</v>
      </c>
      <c r="H128" t="s" s="20">
        <v>46</v>
      </c>
      <c r="I128" t="s" s="17">
        <v>26</v>
      </c>
      <c r="J128" t="s" s="17">
        <v>93</v>
      </c>
      <c r="K128" s="18"/>
      <c r="L128" s="18"/>
      <c r="M128" s="18"/>
      <c r="N128" s="18"/>
      <c r="O128" s="21"/>
      <c r="P128" s="21"/>
      <c r="Q128" s="21"/>
      <c r="R128" s="21"/>
      <c r="S128" s="21"/>
      <c r="T128" s="21"/>
    </row>
    <row r="129" ht="26.55" customHeight="1">
      <c r="A129" t="s" s="15">
        <v>540</v>
      </c>
      <c r="B129" s="16">
        <v>2022</v>
      </c>
      <c r="C129" t="s" s="15">
        <v>541</v>
      </c>
      <c r="D129" t="s" s="17">
        <v>542</v>
      </c>
      <c r="E129" t="s" s="17">
        <v>543</v>
      </c>
      <c r="F129" s="18"/>
      <c r="G129" s="19">
        <v>3</v>
      </c>
      <c r="H129" t="s" s="20">
        <v>46</v>
      </c>
      <c r="I129" t="s" s="17">
        <v>26</v>
      </c>
      <c r="J129" t="s" s="17">
        <v>85</v>
      </c>
      <c r="K129" t="s" s="17">
        <v>267</v>
      </c>
      <c r="L129" s="18"/>
      <c r="M129" s="18"/>
      <c r="N129" s="18"/>
      <c r="O129" s="21"/>
      <c r="P129" s="21"/>
      <c r="Q129" s="21"/>
      <c r="R129" s="21"/>
      <c r="S129" s="21"/>
      <c r="T129" s="21"/>
    </row>
    <row r="130" ht="30" customHeight="1">
      <c r="A130" t="s" s="15">
        <v>544</v>
      </c>
      <c r="B130" s="16">
        <v>2018</v>
      </c>
      <c r="C130" t="s" s="15">
        <v>545</v>
      </c>
      <c r="D130" t="s" s="17">
        <v>546</v>
      </c>
      <c r="E130" t="s" s="17">
        <v>547</v>
      </c>
      <c r="F130" s="18"/>
      <c r="G130" s="19">
        <v>2</v>
      </c>
      <c r="H130" t="s" s="20">
        <v>25</v>
      </c>
      <c r="I130" t="s" s="17">
        <v>26</v>
      </c>
      <c r="J130" t="s" s="17">
        <v>66</v>
      </c>
      <c r="K130" s="18"/>
      <c r="L130" s="18"/>
      <c r="M130" s="18"/>
      <c r="N130" s="18"/>
      <c r="O130" s="21"/>
      <c r="P130" s="21"/>
      <c r="Q130" s="21"/>
      <c r="R130" s="21"/>
      <c r="S130" s="21"/>
      <c r="T130" s="21"/>
    </row>
    <row r="131" ht="39.55" customHeight="1">
      <c r="A131" t="s" s="15">
        <v>548</v>
      </c>
      <c r="B131" s="16">
        <v>2009</v>
      </c>
      <c r="C131" t="s" s="15">
        <v>549</v>
      </c>
      <c r="D131" t="s" s="17">
        <v>550</v>
      </c>
      <c r="E131" t="s" s="17">
        <v>551</v>
      </c>
      <c r="F131" s="18"/>
      <c r="G131" s="19">
        <v>2</v>
      </c>
      <c r="H131" t="s" s="20">
        <v>25</v>
      </c>
      <c r="I131" t="s" s="17">
        <v>26</v>
      </c>
      <c r="J131" t="s" s="17">
        <v>31</v>
      </c>
      <c r="K131" s="18"/>
      <c r="L131" s="18"/>
      <c r="M131" s="18"/>
      <c r="N131" s="18"/>
      <c r="O131" s="21"/>
      <c r="P131" s="21"/>
      <c r="Q131" s="21"/>
      <c r="R131" s="21"/>
      <c r="S131" s="21"/>
      <c r="T131" s="21"/>
    </row>
    <row r="132" ht="30" customHeight="1">
      <c r="A132" t="s" s="15">
        <v>552</v>
      </c>
      <c r="B132" s="16">
        <v>2013</v>
      </c>
      <c r="C132" t="s" s="15">
        <v>553</v>
      </c>
      <c r="D132" t="s" s="17">
        <v>554</v>
      </c>
      <c r="E132" t="s" s="17">
        <v>555</v>
      </c>
      <c r="F132" s="18"/>
      <c r="G132" s="19">
        <v>2</v>
      </c>
      <c r="H132" t="s" s="20">
        <v>25</v>
      </c>
      <c r="I132" t="s" s="17">
        <v>26</v>
      </c>
      <c r="J132" t="s" s="17">
        <v>187</v>
      </c>
      <c r="K132" s="18"/>
      <c r="L132" s="18"/>
      <c r="M132" s="18"/>
      <c r="N132" s="18"/>
      <c r="O132" s="21"/>
      <c r="P132" s="21"/>
      <c r="Q132" s="21"/>
      <c r="R132" s="21"/>
      <c r="S132" s="21"/>
      <c r="T132" s="21"/>
    </row>
    <row r="133" ht="26.55" customHeight="1">
      <c r="A133" t="s" s="15">
        <v>556</v>
      </c>
      <c r="B133" s="16">
        <v>2006</v>
      </c>
      <c r="C133" t="s" s="15">
        <v>557</v>
      </c>
      <c r="D133" t="s" s="17">
        <v>558</v>
      </c>
      <c r="E133" t="s" s="17">
        <v>559</v>
      </c>
      <c r="F133" s="18"/>
      <c r="G133" s="19">
        <v>2</v>
      </c>
      <c r="H133" t="s" s="20">
        <v>25</v>
      </c>
      <c r="I133" t="s" s="17">
        <v>26</v>
      </c>
      <c r="J133" t="s" s="17">
        <v>560</v>
      </c>
      <c r="K133" s="18"/>
      <c r="L133" s="18"/>
      <c r="M133" s="18"/>
      <c r="N133" s="18"/>
      <c r="O133" s="21"/>
      <c r="P133" s="21"/>
      <c r="Q133" s="21"/>
      <c r="R133" s="21"/>
      <c r="S133" s="21"/>
      <c r="T133" s="21"/>
    </row>
    <row r="134" ht="13.55" customHeight="1">
      <c r="A134" t="s" s="15">
        <v>561</v>
      </c>
      <c r="B134" s="16">
        <v>2010</v>
      </c>
      <c r="C134" t="s" s="15">
        <v>557</v>
      </c>
      <c r="D134" t="s" s="17">
        <v>562</v>
      </c>
      <c r="E134" t="s" s="17">
        <v>563</v>
      </c>
      <c r="F134" s="18"/>
      <c r="G134" s="19">
        <v>2</v>
      </c>
      <c r="H134" t="s" s="20">
        <v>25</v>
      </c>
      <c r="I134" t="s" s="17">
        <v>26</v>
      </c>
      <c r="J134" t="s" s="17">
        <v>564</v>
      </c>
      <c r="K134" s="18"/>
      <c r="L134" s="18"/>
      <c r="M134" s="18"/>
      <c r="N134" s="18"/>
      <c r="O134" s="21"/>
      <c r="P134" s="21"/>
      <c r="Q134" s="21"/>
      <c r="R134" s="21"/>
      <c r="S134" s="21"/>
      <c r="T134" s="21"/>
    </row>
    <row r="135" ht="13.55" customHeight="1">
      <c r="A135" t="s" s="15">
        <v>565</v>
      </c>
      <c r="B135" s="16">
        <v>2014</v>
      </c>
      <c r="C135" t="s" s="15">
        <v>566</v>
      </c>
      <c r="D135" t="s" s="17">
        <v>567</v>
      </c>
      <c r="E135" t="s" s="17">
        <v>568</v>
      </c>
      <c r="F135" s="18"/>
      <c r="G135" s="19">
        <v>3</v>
      </c>
      <c r="H135" t="s" s="20">
        <v>46</v>
      </c>
      <c r="I135" t="s" s="17">
        <v>26</v>
      </c>
      <c r="J135" t="s" s="17">
        <v>31</v>
      </c>
      <c r="K135" t="s" s="17">
        <v>467</v>
      </c>
      <c r="L135" s="18"/>
      <c r="M135" s="18"/>
      <c r="N135" s="18"/>
      <c r="O135" s="21"/>
      <c r="P135" s="21"/>
      <c r="Q135" s="21"/>
      <c r="R135" s="21"/>
      <c r="S135" s="21"/>
      <c r="T135" s="21"/>
    </row>
    <row r="136" ht="39.55" customHeight="1">
      <c r="A136" t="s" s="15">
        <v>569</v>
      </c>
      <c r="B136" s="16">
        <v>2019</v>
      </c>
      <c r="C136" t="s" s="15">
        <v>566</v>
      </c>
      <c r="D136" t="s" s="17">
        <v>570</v>
      </c>
      <c r="E136" t="s" s="17">
        <v>571</v>
      </c>
      <c r="F136" s="18"/>
      <c r="G136" s="19">
        <v>3</v>
      </c>
      <c r="H136" t="s" s="20">
        <v>46</v>
      </c>
      <c r="I136" t="s" s="17">
        <v>42</v>
      </c>
      <c r="J136" t="s" s="17">
        <v>31</v>
      </c>
      <c r="K136" t="s" s="17">
        <v>572</v>
      </c>
      <c r="L136" s="18"/>
      <c r="M136" s="18"/>
      <c r="N136" s="18"/>
      <c r="O136" s="21"/>
      <c r="P136" s="21"/>
      <c r="Q136" s="21"/>
      <c r="R136" s="21"/>
      <c r="S136" s="21"/>
      <c r="T136" s="21"/>
    </row>
    <row r="137" ht="60" customHeight="1">
      <c r="A137" t="s" s="15">
        <v>573</v>
      </c>
      <c r="B137" s="16">
        <v>2005</v>
      </c>
      <c r="C137" t="s" s="15">
        <v>574</v>
      </c>
      <c r="D137" t="s" s="17">
        <v>575</v>
      </c>
      <c r="E137" s="18"/>
      <c r="F137" s="18"/>
      <c r="G137" s="19">
        <v>2</v>
      </c>
      <c r="H137" t="s" s="20">
        <v>25</v>
      </c>
      <c r="I137" t="s" s="17">
        <v>42</v>
      </c>
      <c r="J137" s="18"/>
      <c r="K137" t="s" s="17">
        <v>293</v>
      </c>
      <c r="L137" t="s" s="17">
        <v>26</v>
      </c>
      <c r="M137" s="18"/>
      <c r="N137" t="s" s="17">
        <v>167</v>
      </c>
      <c r="O137" t="s" s="20">
        <v>576</v>
      </c>
      <c r="P137" s="21"/>
      <c r="Q137" s="21"/>
      <c r="R137" s="21"/>
      <c r="S137" s="21"/>
      <c r="T137" s="21"/>
    </row>
    <row r="138" ht="120" customHeight="1">
      <c r="A138" t="s" s="15">
        <v>577</v>
      </c>
      <c r="B138" s="16">
        <v>2013</v>
      </c>
      <c r="C138" t="s" s="15">
        <v>574</v>
      </c>
      <c r="D138" t="s" s="17">
        <v>578</v>
      </c>
      <c r="E138" s="18"/>
      <c r="F138" s="18"/>
      <c r="G138" s="19">
        <v>2</v>
      </c>
      <c r="H138" t="s" s="20">
        <v>25</v>
      </c>
      <c r="I138" t="s" s="17">
        <v>42</v>
      </c>
      <c r="J138" s="18"/>
      <c r="K138" t="s" s="17">
        <v>293</v>
      </c>
      <c r="L138" t="s" s="17">
        <v>26</v>
      </c>
      <c r="M138" s="18"/>
      <c r="N138" t="s" s="17">
        <v>167</v>
      </c>
      <c r="O138" t="s" s="20">
        <v>579</v>
      </c>
      <c r="P138" s="21"/>
      <c r="Q138" s="21"/>
      <c r="R138" s="21"/>
      <c r="S138" s="21"/>
      <c r="T138" s="21"/>
    </row>
    <row r="139" ht="30" customHeight="1">
      <c r="A139" t="s" s="15">
        <v>580</v>
      </c>
      <c r="B139" s="16">
        <v>2013</v>
      </c>
      <c r="C139" t="s" s="15">
        <v>574</v>
      </c>
      <c r="D139" t="s" s="17">
        <v>578</v>
      </c>
      <c r="E139" s="18"/>
      <c r="F139" s="18"/>
      <c r="G139" s="19">
        <v>3</v>
      </c>
      <c r="H139" t="s" s="20">
        <v>46</v>
      </c>
      <c r="I139" t="s" s="17">
        <v>26</v>
      </c>
      <c r="J139" t="s" s="17">
        <v>581</v>
      </c>
      <c r="K139" s="18"/>
      <c r="L139" s="18"/>
      <c r="M139" s="18"/>
      <c r="N139" s="18"/>
      <c r="O139" s="21"/>
      <c r="P139" s="21"/>
      <c r="Q139" s="21"/>
      <c r="R139" s="21"/>
      <c r="S139" s="21"/>
      <c r="T139" s="21"/>
    </row>
    <row r="140" ht="30" customHeight="1">
      <c r="A140" t="s" s="15">
        <v>582</v>
      </c>
      <c r="B140" s="16">
        <v>2022</v>
      </c>
      <c r="C140" t="s" s="15">
        <v>583</v>
      </c>
      <c r="D140" t="s" s="17">
        <v>584</v>
      </c>
      <c r="E140" t="s" s="17">
        <v>585</v>
      </c>
      <c r="F140" s="18"/>
      <c r="G140" s="19">
        <v>2</v>
      </c>
      <c r="H140" t="s" s="20">
        <v>25</v>
      </c>
      <c r="I140" t="s" s="17">
        <v>26</v>
      </c>
      <c r="J140" t="s" s="17">
        <v>85</v>
      </c>
      <c r="K140" t="s" s="17">
        <v>586</v>
      </c>
      <c r="L140" s="18"/>
      <c r="M140" s="18"/>
      <c r="N140" s="18"/>
      <c r="O140" s="21"/>
      <c r="P140" s="21"/>
      <c r="Q140" s="21"/>
      <c r="R140" s="21"/>
      <c r="S140" s="21"/>
      <c r="T140" s="21"/>
    </row>
    <row r="141" ht="30" customHeight="1">
      <c r="A141" t="s" s="15">
        <v>587</v>
      </c>
      <c r="B141" s="16">
        <v>2015</v>
      </c>
      <c r="C141" t="s" s="15">
        <v>588</v>
      </c>
      <c r="D141" t="s" s="17">
        <v>589</v>
      </c>
      <c r="E141" t="s" s="17">
        <v>590</v>
      </c>
      <c r="F141" s="18"/>
      <c r="G141" s="19">
        <v>3</v>
      </c>
      <c r="H141" t="s" s="20">
        <v>46</v>
      </c>
      <c r="I141" t="s" s="17">
        <v>26</v>
      </c>
      <c r="J141" t="s" s="17">
        <v>591</v>
      </c>
      <c r="K141" t="s" s="17">
        <v>592</v>
      </c>
      <c r="L141" s="18"/>
      <c r="M141" s="18"/>
      <c r="N141" s="18"/>
      <c r="O141" s="21"/>
      <c r="P141" s="21"/>
      <c r="Q141" s="21"/>
      <c r="R141" s="21"/>
      <c r="S141" s="21"/>
      <c r="T141" s="21"/>
    </row>
    <row r="142" ht="30" customHeight="1">
      <c r="A142" t="s" s="15">
        <v>593</v>
      </c>
      <c r="B142" s="16">
        <v>2008</v>
      </c>
      <c r="C142" t="s" s="15">
        <v>594</v>
      </c>
      <c r="D142" t="s" s="17">
        <v>595</v>
      </c>
      <c r="E142" t="s" s="17">
        <v>596</v>
      </c>
      <c r="F142" s="18"/>
      <c r="G142" s="19">
        <v>3</v>
      </c>
      <c r="H142" t="s" s="20">
        <v>46</v>
      </c>
      <c r="I142" t="s" s="17">
        <v>26</v>
      </c>
      <c r="J142" t="s" s="17">
        <v>93</v>
      </c>
      <c r="K142" t="s" s="17">
        <v>32</v>
      </c>
      <c r="L142" s="18"/>
      <c r="M142" s="18"/>
      <c r="N142" s="18"/>
      <c r="O142" s="21"/>
      <c r="P142" s="21"/>
      <c r="Q142" s="21"/>
      <c r="R142" s="21"/>
      <c r="S142" s="21"/>
      <c r="T142" s="21"/>
    </row>
    <row r="143" ht="30" customHeight="1">
      <c r="A143" t="s" s="15">
        <v>597</v>
      </c>
      <c r="B143" s="16">
        <v>2008</v>
      </c>
      <c r="C143" t="s" s="15">
        <v>594</v>
      </c>
      <c r="D143" t="s" s="17">
        <v>595</v>
      </c>
      <c r="E143" t="s" s="17">
        <v>598</v>
      </c>
      <c r="F143" s="18"/>
      <c r="G143" s="19">
        <v>2</v>
      </c>
      <c r="H143" t="s" s="20">
        <v>25</v>
      </c>
      <c r="I143" t="s" s="17">
        <v>26</v>
      </c>
      <c r="J143" t="s" s="17">
        <v>102</v>
      </c>
      <c r="K143" t="s" s="17">
        <v>32</v>
      </c>
      <c r="L143" s="18"/>
      <c r="M143" s="18"/>
      <c r="N143" s="18"/>
      <c r="O143" s="21"/>
      <c r="P143" s="21"/>
      <c r="Q143" s="21"/>
      <c r="R143" s="21"/>
      <c r="S143" s="21"/>
      <c r="T143" s="21"/>
    </row>
    <row r="144" ht="30" customHeight="1">
      <c r="A144" t="s" s="15">
        <v>599</v>
      </c>
      <c r="B144" s="16">
        <v>2020</v>
      </c>
      <c r="C144" t="s" s="15">
        <v>600</v>
      </c>
      <c r="D144" t="s" s="17">
        <v>601</v>
      </c>
      <c r="E144" t="s" s="17">
        <v>602</v>
      </c>
      <c r="F144" s="18"/>
      <c r="G144" s="19">
        <v>2</v>
      </c>
      <c r="H144" t="s" s="20">
        <v>25</v>
      </c>
      <c r="I144" t="s" s="17">
        <v>42</v>
      </c>
      <c r="J144" s="18"/>
      <c r="K144" t="s" s="17">
        <v>603</v>
      </c>
      <c r="L144" t="s" s="17">
        <v>42</v>
      </c>
      <c r="M144" t="s" s="17">
        <v>212</v>
      </c>
      <c r="N144" s="18"/>
      <c r="O144" s="21"/>
      <c r="P144" t="s" s="20">
        <v>25</v>
      </c>
      <c r="Q144" s="21"/>
      <c r="R144" s="21"/>
      <c r="S144" s="21"/>
      <c r="T144" s="21"/>
    </row>
    <row r="145" ht="26.55" customHeight="1">
      <c r="A145" t="s" s="15">
        <v>604</v>
      </c>
      <c r="B145" s="16">
        <v>2011</v>
      </c>
      <c r="C145" t="s" s="15">
        <v>605</v>
      </c>
      <c r="D145" t="s" s="17">
        <v>606</v>
      </c>
      <c r="E145" t="s" s="17">
        <v>607</v>
      </c>
      <c r="F145" s="18"/>
      <c r="G145" s="19">
        <v>2</v>
      </c>
      <c r="H145" t="s" s="20">
        <v>25</v>
      </c>
      <c r="I145" t="s" s="17">
        <v>26</v>
      </c>
      <c r="J145" t="s" s="17">
        <v>608</v>
      </c>
      <c r="K145" s="18"/>
      <c r="L145" s="18"/>
      <c r="M145" s="18"/>
      <c r="N145" s="18"/>
      <c r="O145" s="21"/>
      <c r="P145" s="21"/>
      <c r="Q145" s="21"/>
      <c r="R145" s="21"/>
      <c r="S145" s="21"/>
      <c r="T145" s="21"/>
    </row>
    <row r="146" ht="26.55" customHeight="1">
      <c r="A146" t="s" s="15">
        <v>609</v>
      </c>
      <c r="B146" s="16">
        <v>2010</v>
      </c>
      <c r="C146" t="s" s="15">
        <v>610</v>
      </c>
      <c r="D146" t="s" s="17">
        <v>611</v>
      </c>
      <c r="E146" s="18"/>
      <c r="F146" s="18"/>
      <c r="G146" s="19">
        <v>2</v>
      </c>
      <c r="H146" t="s" s="20">
        <v>25</v>
      </c>
      <c r="I146" t="s" s="17">
        <v>26</v>
      </c>
      <c r="J146" t="s" s="17">
        <v>61</v>
      </c>
      <c r="K146" s="18"/>
      <c r="L146" s="18"/>
      <c r="M146" s="18"/>
      <c r="N146" s="18"/>
      <c r="O146" s="21"/>
      <c r="P146" s="21"/>
      <c r="Q146" s="21"/>
      <c r="R146" s="21"/>
      <c r="S146" s="21"/>
      <c r="T146" s="21"/>
    </row>
    <row r="147" ht="39.55" customHeight="1">
      <c r="A147" t="s" s="15">
        <v>612</v>
      </c>
      <c r="B147" s="16">
        <v>2011</v>
      </c>
      <c r="C147" t="s" s="15">
        <v>613</v>
      </c>
      <c r="D147" t="s" s="17">
        <v>614</v>
      </c>
      <c r="E147" t="s" s="17">
        <v>615</v>
      </c>
      <c r="F147" s="18"/>
      <c r="G147" s="19">
        <v>2</v>
      </c>
      <c r="H147" t="s" s="20">
        <v>25</v>
      </c>
      <c r="I147" t="s" s="17">
        <v>26</v>
      </c>
      <c r="J147" t="s" s="17">
        <v>93</v>
      </c>
      <c r="K147" s="18"/>
      <c r="L147" s="18"/>
      <c r="M147" s="18"/>
      <c r="N147" s="18"/>
      <c r="O147" s="21"/>
      <c r="P147" s="21"/>
      <c r="Q147" s="21"/>
      <c r="R147" s="21"/>
      <c r="S147" s="21"/>
      <c r="T147" s="21"/>
    </row>
    <row r="148" ht="30" customHeight="1">
      <c r="A148" t="s" s="15">
        <v>616</v>
      </c>
      <c r="B148" s="16">
        <v>2021</v>
      </c>
      <c r="C148" t="s" s="15">
        <v>617</v>
      </c>
      <c r="D148" t="s" s="17">
        <v>618</v>
      </c>
      <c r="E148" t="s" s="17">
        <v>619</v>
      </c>
      <c r="F148" s="18"/>
      <c r="G148" s="19">
        <v>3</v>
      </c>
      <c r="H148" t="s" s="20">
        <v>46</v>
      </c>
      <c r="I148" t="s" s="17">
        <v>26</v>
      </c>
      <c r="J148" t="s" s="17">
        <v>131</v>
      </c>
      <c r="K148" s="18"/>
      <c r="L148" s="18"/>
      <c r="M148" s="18"/>
      <c r="N148" s="18"/>
      <c r="O148" s="21"/>
      <c r="P148" s="21"/>
      <c r="Q148" s="21"/>
      <c r="R148" s="21"/>
      <c r="S148" s="21"/>
      <c r="T148" s="21"/>
    </row>
    <row r="149" ht="30" customHeight="1">
      <c r="A149" t="s" s="15">
        <v>620</v>
      </c>
      <c r="B149" s="16">
        <v>2022</v>
      </c>
      <c r="C149" t="s" s="15">
        <v>621</v>
      </c>
      <c r="D149" t="s" s="17">
        <v>622</v>
      </c>
      <c r="E149" t="s" s="17">
        <v>623</v>
      </c>
      <c r="F149" s="18"/>
      <c r="G149" s="19">
        <v>2</v>
      </c>
      <c r="H149" t="s" s="20">
        <v>25</v>
      </c>
      <c r="I149" t="s" s="17">
        <v>26</v>
      </c>
      <c r="J149" t="s" s="17">
        <v>93</v>
      </c>
      <c r="K149" s="18"/>
      <c r="L149" s="18"/>
      <c r="M149" s="18"/>
      <c r="N149" s="18"/>
      <c r="O149" s="21"/>
      <c r="P149" s="21"/>
      <c r="Q149" s="21"/>
      <c r="R149" s="21"/>
      <c r="S149" s="21"/>
      <c r="T149" s="21"/>
    </row>
    <row r="150" ht="26.55" customHeight="1">
      <c r="A150" t="s" s="15">
        <v>624</v>
      </c>
      <c r="B150" s="16">
        <v>2006</v>
      </c>
      <c r="C150" t="s" s="15">
        <v>625</v>
      </c>
      <c r="D150" t="s" s="17">
        <v>626</v>
      </c>
      <c r="E150" s="18"/>
      <c r="F150" s="18"/>
      <c r="G150" s="19">
        <v>3</v>
      </c>
      <c r="H150" t="s" s="20">
        <v>46</v>
      </c>
      <c r="I150" t="s" s="17">
        <v>26</v>
      </c>
      <c r="J150" t="s" s="17">
        <v>31</v>
      </c>
      <c r="K150" s="18"/>
      <c r="L150" s="18"/>
      <c r="M150" s="18"/>
      <c r="N150" s="18"/>
      <c r="O150" s="21"/>
      <c r="P150" s="21"/>
      <c r="Q150" s="21"/>
      <c r="R150" s="21"/>
      <c r="S150" s="21"/>
      <c r="T150" s="21"/>
    </row>
    <row r="151" ht="30" customHeight="1">
      <c r="A151" t="s" s="15">
        <v>627</v>
      </c>
      <c r="B151" s="16">
        <v>2016</v>
      </c>
      <c r="C151" t="s" s="15">
        <v>628</v>
      </c>
      <c r="D151" t="s" s="17">
        <v>629</v>
      </c>
      <c r="E151" s="18"/>
      <c r="F151" s="18"/>
      <c r="G151" s="19">
        <v>2</v>
      </c>
      <c r="H151" t="s" s="20">
        <v>25</v>
      </c>
      <c r="I151" t="s" s="17">
        <v>26</v>
      </c>
      <c r="J151" t="s" s="17">
        <v>630</v>
      </c>
      <c r="K151" s="18"/>
      <c r="L151" s="18"/>
      <c r="M151" s="18"/>
      <c r="N151" s="18"/>
      <c r="O151" s="21"/>
      <c r="P151" s="21"/>
      <c r="Q151" s="21"/>
      <c r="R151" s="21"/>
      <c r="S151" s="21"/>
      <c r="T151" s="21"/>
    </row>
    <row r="152" ht="30" customHeight="1">
      <c r="A152" t="s" s="15">
        <v>631</v>
      </c>
      <c r="B152" s="16">
        <v>2015</v>
      </c>
      <c r="C152" t="s" s="15">
        <v>632</v>
      </c>
      <c r="D152" t="s" s="17">
        <v>633</v>
      </c>
      <c r="E152" t="s" s="17">
        <v>634</v>
      </c>
      <c r="F152" s="18"/>
      <c r="G152" s="19">
        <v>2</v>
      </c>
      <c r="H152" t="s" s="20">
        <v>25</v>
      </c>
      <c r="I152" t="s" s="17">
        <v>26</v>
      </c>
      <c r="J152" t="s" s="17">
        <v>93</v>
      </c>
      <c r="K152" s="18"/>
      <c r="L152" s="18"/>
      <c r="M152" s="18"/>
      <c r="N152" s="18"/>
      <c r="O152" s="21"/>
      <c r="P152" s="21"/>
      <c r="Q152" s="21"/>
      <c r="R152" s="21"/>
      <c r="S152" s="21"/>
      <c r="T152" s="21"/>
    </row>
    <row r="153" ht="30" customHeight="1">
      <c r="A153" t="s" s="15">
        <v>635</v>
      </c>
      <c r="B153" s="16">
        <v>2014</v>
      </c>
      <c r="C153" t="s" s="15">
        <v>636</v>
      </c>
      <c r="D153" t="s" s="17">
        <v>637</v>
      </c>
      <c r="E153" t="s" s="17">
        <v>638</v>
      </c>
      <c r="F153" s="18"/>
      <c r="G153" s="19">
        <v>3</v>
      </c>
      <c r="H153" t="s" s="20">
        <v>46</v>
      </c>
      <c r="I153" t="s" s="17">
        <v>26</v>
      </c>
      <c r="J153" t="s" s="17">
        <v>85</v>
      </c>
      <c r="K153" t="s" s="17">
        <v>454</v>
      </c>
      <c r="L153" s="18"/>
      <c r="M153" s="18"/>
      <c r="N153" s="18"/>
      <c r="O153" s="21"/>
      <c r="P153" s="21"/>
      <c r="Q153" s="21"/>
      <c r="R153" s="21"/>
      <c r="S153" s="21"/>
      <c r="T153" s="21"/>
    </row>
    <row r="154" ht="45" customHeight="1">
      <c r="A154" t="s" s="15">
        <v>639</v>
      </c>
      <c r="B154" s="16">
        <v>2022</v>
      </c>
      <c r="C154" t="s" s="15">
        <v>640</v>
      </c>
      <c r="D154" t="s" s="17">
        <v>641</v>
      </c>
      <c r="E154" t="s" s="17">
        <v>642</v>
      </c>
      <c r="F154" s="18"/>
      <c r="G154" s="19">
        <v>2</v>
      </c>
      <c r="H154" t="s" s="20">
        <v>25</v>
      </c>
      <c r="I154" t="s" s="17">
        <v>26</v>
      </c>
      <c r="J154" t="s" s="17">
        <v>27</v>
      </c>
      <c r="K154" s="18"/>
      <c r="L154" s="18"/>
      <c r="M154" s="18"/>
      <c r="N154" s="18"/>
      <c r="O154" s="21"/>
      <c r="P154" s="21"/>
      <c r="Q154" s="21"/>
      <c r="R154" s="21"/>
      <c r="S154" s="21"/>
      <c r="T154" s="21"/>
    </row>
    <row r="155" ht="26.55" customHeight="1">
      <c r="A155" t="s" s="15">
        <v>643</v>
      </c>
      <c r="B155" s="16">
        <v>2017</v>
      </c>
      <c r="C155" t="s" s="15">
        <v>644</v>
      </c>
      <c r="D155" t="s" s="17">
        <v>645</v>
      </c>
      <c r="E155" s="18"/>
      <c r="F155" s="18"/>
      <c r="G155" s="19">
        <v>2</v>
      </c>
      <c r="H155" t="s" s="20">
        <v>25</v>
      </c>
      <c r="I155" t="s" s="17">
        <v>26</v>
      </c>
      <c r="J155" t="s" s="17">
        <v>27</v>
      </c>
      <c r="K155" s="18"/>
      <c r="L155" s="18"/>
      <c r="M155" s="18"/>
      <c r="N155" s="18"/>
      <c r="O155" s="21"/>
      <c r="P155" s="21"/>
      <c r="Q155" s="21"/>
      <c r="R155" s="21"/>
      <c r="S155" s="21"/>
      <c r="T155" s="21"/>
    </row>
    <row r="156" ht="30" customHeight="1">
      <c r="A156" t="s" s="15">
        <v>646</v>
      </c>
      <c r="B156" s="16">
        <v>2020</v>
      </c>
      <c r="C156" t="s" s="15">
        <v>647</v>
      </c>
      <c r="D156" t="s" s="17">
        <v>648</v>
      </c>
      <c r="E156" t="s" s="17">
        <v>649</v>
      </c>
      <c r="F156" s="18"/>
      <c r="G156" s="19">
        <v>2</v>
      </c>
      <c r="H156" t="s" s="20">
        <v>25</v>
      </c>
      <c r="I156" t="s" s="17">
        <v>26</v>
      </c>
      <c r="J156" t="s" s="17">
        <v>31</v>
      </c>
      <c r="K156" s="18"/>
      <c r="L156" s="18"/>
      <c r="M156" s="18"/>
      <c r="N156" s="18"/>
      <c r="O156" s="21"/>
      <c r="P156" s="21"/>
      <c r="Q156" s="21"/>
      <c r="R156" s="21"/>
      <c r="S156" s="21"/>
      <c r="T156" s="21"/>
    </row>
    <row r="157" ht="30" customHeight="1">
      <c r="A157" t="s" s="15">
        <v>650</v>
      </c>
      <c r="B157" s="16">
        <v>2005</v>
      </c>
      <c r="C157" t="s" s="15">
        <v>651</v>
      </c>
      <c r="D157" t="s" s="17">
        <v>652</v>
      </c>
      <c r="E157" t="s" s="17">
        <v>653</v>
      </c>
      <c r="F157" s="18"/>
      <c r="G157" s="19">
        <v>2</v>
      </c>
      <c r="H157" t="s" s="20">
        <v>25</v>
      </c>
      <c r="I157" t="s" s="17">
        <v>42</v>
      </c>
      <c r="J157" s="18"/>
      <c r="K157" t="s" s="17">
        <v>43</v>
      </c>
      <c r="L157" t="s" s="17">
        <v>26</v>
      </c>
      <c r="M157" t="s" s="17">
        <v>44</v>
      </c>
      <c r="N157" t="s" s="22">
        <v>521</v>
      </c>
      <c r="O157" s="21"/>
      <c r="P157" t="s" s="20">
        <v>46</v>
      </c>
      <c r="Q157" t="s" s="20">
        <v>277</v>
      </c>
      <c r="R157" s="21"/>
      <c r="S157" t="s" s="20">
        <v>277</v>
      </c>
      <c r="T157" s="21"/>
    </row>
    <row r="158" ht="26.55" customHeight="1">
      <c r="A158" t="s" s="15">
        <v>654</v>
      </c>
      <c r="B158" s="16">
        <v>2006</v>
      </c>
      <c r="C158" t="s" s="15">
        <v>651</v>
      </c>
      <c r="D158" t="s" s="17">
        <v>655</v>
      </c>
      <c r="E158" t="s" s="17">
        <v>656</v>
      </c>
      <c r="F158" s="18"/>
      <c r="G158" s="19">
        <v>3</v>
      </c>
      <c r="H158" t="s" s="20">
        <v>46</v>
      </c>
      <c r="I158" t="s" s="17">
        <v>26</v>
      </c>
      <c r="J158" t="s" s="17">
        <v>27</v>
      </c>
      <c r="K158" s="18"/>
      <c r="L158" s="18"/>
      <c r="M158" s="18"/>
      <c r="N158" s="18"/>
      <c r="O158" s="21"/>
      <c r="P158" s="21"/>
      <c r="Q158" s="21"/>
      <c r="R158" s="21"/>
      <c r="S158" s="21"/>
      <c r="T158" s="21"/>
    </row>
    <row r="159" ht="30" customHeight="1">
      <c r="A159" t="s" s="15">
        <v>657</v>
      </c>
      <c r="B159" s="16">
        <v>2007</v>
      </c>
      <c r="C159" t="s" s="15">
        <v>651</v>
      </c>
      <c r="D159" t="s" s="17">
        <v>658</v>
      </c>
      <c r="E159" t="s" s="17">
        <v>659</v>
      </c>
      <c r="F159" s="18"/>
      <c r="G159" s="19">
        <v>3</v>
      </c>
      <c r="H159" t="s" s="20">
        <v>46</v>
      </c>
      <c r="I159" t="s" s="17">
        <v>26</v>
      </c>
      <c r="J159" t="s" s="17">
        <v>660</v>
      </c>
      <c r="K159" t="s" s="17">
        <v>661</v>
      </c>
      <c r="L159" t="s" s="17">
        <v>26</v>
      </c>
      <c r="M159" s="18"/>
      <c r="N159" t="s" s="17">
        <v>662</v>
      </c>
      <c r="O159" t="s" s="20">
        <v>661</v>
      </c>
      <c r="P159" s="21"/>
      <c r="Q159" s="21"/>
      <c r="R159" s="21"/>
      <c r="S159" s="21"/>
      <c r="T159" s="21"/>
    </row>
    <row r="160" ht="26.55" customHeight="1">
      <c r="A160" t="s" s="15">
        <v>663</v>
      </c>
      <c r="B160" s="16">
        <v>2011</v>
      </c>
      <c r="C160" t="s" s="15">
        <v>651</v>
      </c>
      <c r="D160" t="s" s="17">
        <v>664</v>
      </c>
      <c r="E160" t="s" s="17">
        <v>665</v>
      </c>
      <c r="F160" s="18"/>
      <c r="G160" s="19">
        <v>2</v>
      </c>
      <c r="H160" t="s" s="20">
        <v>25</v>
      </c>
      <c r="I160" t="s" s="17">
        <v>26</v>
      </c>
      <c r="J160" t="s" s="17">
        <v>66</v>
      </c>
      <c r="K160" s="18"/>
      <c r="L160" s="18"/>
      <c r="M160" s="18"/>
      <c r="N160" s="18"/>
      <c r="O160" s="21"/>
      <c r="P160" s="21"/>
      <c r="Q160" s="21"/>
      <c r="R160" s="21"/>
      <c r="S160" s="21"/>
      <c r="T160" s="21"/>
    </row>
    <row r="161" ht="30" customHeight="1">
      <c r="A161" t="s" s="15">
        <v>666</v>
      </c>
      <c r="B161" s="16">
        <v>2014</v>
      </c>
      <c r="C161" t="s" s="15">
        <v>651</v>
      </c>
      <c r="D161" t="s" s="17">
        <v>667</v>
      </c>
      <c r="E161" t="s" s="17">
        <v>668</v>
      </c>
      <c r="F161" s="18"/>
      <c r="G161" s="19">
        <v>3</v>
      </c>
      <c r="H161" t="s" s="20">
        <v>46</v>
      </c>
      <c r="I161" t="s" s="17">
        <v>26</v>
      </c>
      <c r="J161" t="s" s="17">
        <v>27</v>
      </c>
      <c r="K161" s="18"/>
      <c r="L161" s="18"/>
      <c r="M161" s="18"/>
      <c r="N161" s="18"/>
      <c r="O161" s="21"/>
      <c r="P161" s="21"/>
      <c r="Q161" s="21"/>
      <c r="R161" s="21"/>
      <c r="S161" s="21"/>
      <c r="T161" s="21"/>
    </row>
    <row r="162" ht="30" customHeight="1">
      <c r="A162" t="s" s="15">
        <v>669</v>
      </c>
      <c r="B162" s="16">
        <v>2023</v>
      </c>
      <c r="C162" t="s" s="15">
        <v>651</v>
      </c>
      <c r="D162" t="s" s="17">
        <v>670</v>
      </c>
      <c r="E162" t="s" s="17">
        <v>671</v>
      </c>
      <c r="F162" s="18"/>
      <c r="G162" s="19">
        <v>2</v>
      </c>
      <c r="H162" t="s" s="20">
        <v>25</v>
      </c>
      <c r="I162" t="s" s="17">
        <v>26</v>
      </c>
      <c r="J162" t="s" s="17">
        <v>85</v>
      </c>
      <c r="K162" s="18"/>
      <c r="L162" s="18"/>
      <c r="M162" s="18"/>
      <c r="N162" s="18"/>
      <c r="O162" s="21"/>
      <c r="P162" s="21"/>
      <c r="Q162" s="21"/>
      <c r="R162" s="21"/>
      <c r="S162" s="21"/>
      <c r="T162" s="21"/>
    </row>
    <row r="163" ht="26.55" customHeight="1">
      <c r="A163" t="s" s="15">
        <v>672</v>
      </c>
      <c r="B163" s="16">
        <v>2019</v>
      </c>
      <c r="C163" t="s" s="15">
        <v>673</v>
      </c>
      <c r="D163" t="s" s="17">
        <v>674</v>
      </c>
      <c r="E163" t="s" s="17">
        <v>675</v>
      </c>
      <c r="F163" s="18"/>
      <c r="G163" s="19">
        <v>3</v>
      </c>
      <c r="H163" t="s" s="20">
        <v>46</v>
      </c>
      <c r="I163" t="s" s="17">
        <v>26</v>
      </c>
      <c r="J163" t="s" s="17">
        <v>85</v>
      </c>
      <c r="K163" t="s" s="17">
        <v>676</v>
      </c>
      <c r="L163" s="18"/>
      <c r="M163" s="18"/>
      <c r="N163" s="18"/>
      <c r="O163" s="21"/>
      <c r="P163" s="21"/>
      <c r="Q163" s="21"/>
      <c r="R163" s="21"/>
      <c r="S163" s="21"/>
      <c r="T163" s="21"/>
    </row>
    <row r="164" ht="30" customHeight="1">
      <c r="A164" t="s" s="15">
        <v>677</v>
      </c>
      <c r="B164" s="16">
        <v>2006</v>
      </c>
      <c r="C164" t="s" s="15">
        <v>678</v>
      </c>
      <c r="D164" t="s" s="17">
        <v>679</v>
      </c>
      <c r="E164" t="s" s="17">
        <v>680</v>
      </c>
      <c r="F164" s="18"/>
      <c r="G164" s="19">
        <v>2</v>
      </c>
      <c r="H164" t="s" s="20">
        <v>25</v>
      </c>
      <c r="I164" t="s" s="17">
        <v>26</v>
      </c>
      <c r="J164" t="s" s="17">
        <v>660</v>
      </c>
      <c r="K164" s="18"/>
      <c r="L164" s="18"/>
      <c r="M164" s="18"/>
      <c r="N164" s="18"/>
      <c r="O164" s="21"/>
      <c r="P164" s="21"/>
      <c r="Q164" s="21"/>
      <c r="R164" s="21"/>
      <c r="S164" s="21"/>
      <c r="T164" s="21"/>
    </row>
    <row r="165" ht="39.55" customHeight="1">
      <c r="A165" t="s" s="15">
        <v>681</v>
      </c>
      <c r="B165" s="16">
        <v>2009</v>
      </c>
      <c r="C165" t="s" s="15">
        <v>682</v>
      </c>
      <c r="D165" t="s" s="17">
        <v>683</v>
      </c>
      <c r="E165" t="s" s="17">
        <v>684</v>
      </c>
      <c r="F165" s="18"/>
      <c r="G165" s="19">
        <v>3</v>
      </c>
      <c r="H165" t="s" s="20">
        <v>46</v>
      </c>
      <c r="I165" t="s" s="17">
        <v>26</v>
      </c>
      <c r="J165" t="s" s="17">
        <v>93</v>
      </c>
      <c r="K165" s="18"/>
      <c r="L165" s="18"/>
      <c r="M165" s="18"/>
      <c r="N165" s="18"/>
      <c r="O165" s="21"/>
      <c r="P165" s="21"/>
      <c r="Q165" s="21"/>
      <c r="R165" s="21"/>
      <c r="S165" s="21"/>
      <c r="T165" s="21"/>
    </row>
    <row r="166" ht="30" customHeight="1">
      <c r="A166" t="s" s="15">
        <v>685</v>
      </c>
      <c r="B166" s="16">
        <v>2007</v>
      </c>
      <c r="C166" t="s" s="15">
        <v>686</v>
      </c>
      <c r="D166" t="s" s="17">
        <v>687</v>
      </c>
      <c r="E166" t="s" s="17">
        <v>688</v>
      </c>
      <c r="F166" s="18"/>
      <c r="G166" s="19">
        <v>2</v>
      </c>
      <c r="H166" t="s" s="20">
        <v>25</v>
      </c>
      <c r="I166" t="s" s="17">
        <v>42</v>
      </c>
      <c r="J166" s="18"/>
      <c r="K166" t="s" s="17">
        <v>43</v>
      </c>
      <c r="L166" t="s" s="17">
        <v>42</v>
      </c>
      <c r="M166" t="s" s="17">
        <v>44</v>
      </c>
      <c r="N166" s="18"/>
      <c r="O166" s="21"/>
      <c r="P166" t="s" s="20">
        <v>46</v>
      </c>
      <c r="Q166" t="s" s="20">
        <v>47</v>
      </c>
      <c r="R166" t="s" s="20">
        <v>689</v>
      </c>
      <c r="S166" t="s" s="20">
        <v>47</v>
      </c>
      <c r="T166" s="21"/>
    </row>
    <row r="167" ht="30" customHeight="1">
      <c r="A167" t="s" s="15">
        <v>690</v>
      </c>
      <c r="B167" s="16">
        <v>2013</v>
      </c>
      <c r="C167" t="s" s="15">
        <v>691</v>
      </c>
      <c r="D167" t="s" s="17">
        <v>692</v>
      </c>
      <c r="E167" t="s" s="17">
        <v>693</v>
      </c>
      <c r="F167" s="18"/>
      <c r="G167" s="19">
        <v>2</v>
      </c>
      <c r="H167" t="s" s="20">
        <v>25</v>
      </c>
      <c r="I167" t="s" s="17">
        <v>26</v>
      </c>
      <c r="J167" t="s" s="17">
        <v>27</v>
      </c>
      <c r="K167" s="18"/>
      <c r="L167" s="18"/>
      <c r="M167" s="18"/>
      <c r="N167" s="18"/>
      <c r="O167" s="21"/>
      <c r="P167" s="21"/>
      <c r="Q167" s="21"/>
      <c r="R167" s="21"/>
      <c r="S167" s="21"/>
      <c r="T167" s="21"/>
    </row>
    <row r="168" ht="30" customHeight="1">
      <c r="A168" t="s" s="15">
        <v>694</v>
      </c>
      <c r="B168" s="16">
        <v>2010</v>
      </c>
      <c r="C168" t="s" s="15">
        <v>695</v>
      </c>
      <c r="D168" t="s" s="17">
        <v>696</v>
      </c>
      <c r="E168" t="s" s="17">
        <v>697</v>
      </c>
      <c r="F168" s="18"/>
      <c r="G168" s="19">
        <v>3</v>
      </c>
      <c r="H168" t="s" s="20">
        <v>25</v>
      </c>
      <c r="I168" t="s" s="17">
        <v>26</v>
      </c>
      <c r="J168" t="s" s="17">
        <v>660</v>
      </c>
      <c r="K168" t="s" s="17">
        <v>661</v>
      </c>
      <c r="L168" t="s" s="17">
        <v>26</v>
      </c>
      <c r="M168" s="18"/>
      <c r="N168" t="s" s="17">
        <v>662</v>
      </c>
      <c r="O168" t="s" s="20">
        <v>661</v>
      </c>
      <c r="P168" s="21"/>
      <c r="Q168" s="21"/>
      <c r="R168" s="21"/>
      <c r="S168" s="21"/>
      <c r="T168" s="21"/>
    </row>
    <row r="169" ht="30" customHeight="1">
      <c r="A169" t="s" s="15">
        <v>698</v>
      </c>
      <c r="B169" s="16">
        <v>2017</v>
      </c>
      <c r="C169" t="s" s="15">
        <v>699</v>
      </c>
      <c r="D169" t="s" s="17">
        <v>700</v>
      </c>
      <c r="E169" t="s" s="17">
        <v>701</v>
      </c>
      <c r="F169" s="18"/>
      <c r="G169" s="19">
        <v>3</v>
      </c>
      <c r="H169" t="s" s="20">
        <v>46</v>
      </c>
      <c r="I169" t="s" s="17">
        <v>26</v>
      </c>
      <c r="J169" t="s" s="17">
        <v>93</v>
      </c>
      <c r="K169" s="18"/>
      <c r="L169" s="18"/>
      <c r="M169" s="18"/>
      <c r="N169" s="18"/>
      <c r="O169" s="21"/>
      <c r="P169" s="21"/>
      <c r="Q169" s="21"/>
      <c r="R169" s="21"/>
      <c r="S169" s="21"/>
      <c r="T169" s="21"/>
    </row>
    <row r="170" ht="30" customHeight="1">
      <c r="A170" t="s" s="15">
        <v>702</v>
      </c>
      <c r="B170" s="16">
        <v>2010</v>
      </c>
      <c r="C170" t="s" s="15">
        <v>703</v>
      </c>
      <c r="D170" t="s" s="17">
        <v>704</v>
      </c>
      <c r="E170" t="s" s="17">
        <v>705</v>
      </c>
      <c r="F170" s="18"/>
      <c r="G170" s="19">
        <v>2</v>
      </c>
      <c r="H170" t="s" s="20">
        <v>25</v>
      </c>
      <c r="I170" t="s" s="17">
        <v>26</v>
      </c>
      <c r="J170" t="s" s="17">
        <v>335</v>
      </c>
      <c r="K170" s="18"/>
      <c r="L170" s="18"/>
      <c r="M170" s="18"/>
      <c r="N170" s="18"/>
      <c r="O170" s="21"/>
      <c r="P170" s="21"/>
      <c r="Q170" s="21"/>
      <c r="R170" s="21"/>
      <c r="S170" s="21"/>
      <c r="T170" s="21"/>
    </row>
    <row r="171" ht="30" customHeight="1">
      <c r="A171" t="s" s="15">
        <v>706</v>
      </c>
      <c r="B171" s="16">
        <v>2020</v>
      </c>
      <c r="C171" t="s" s="15">
        <v>707</v>
      </c>
      <c r="D171" t="s" s="17">
        <v>708</v>
      </c>
      <c r="E171" t="s" s="17">
        <v>709</v>
      </c>
      <c r="F171" s="18"/>
      <c r="G171" s="19">
        <v>2</v>
      </c>
      <c r="H171" t="s" s="20">
        <v>25</v>
      </c>
      <c r="I171" t="s" s="17">
        <v>26</v>
      </c>
      <c r="J171" t="s" s="17">
        <v>27</v>
      </c>
      <c r="K171" s="18"/>
      <c r="L171" s="18"/>
      <c r="M171" s="18"/>
      <c r="N171" s="18"/>
      <c r="O171" s="21"/>
      <c r="P171" s="21"/>
      <c r="Q171" s="21"/>
      <c r="R171" s="21"/>
      <c r="S171" s="21"/>
      <c r="T171" s="21"/>
    </row>
    <row r="172" ht="26.55" customHeight="1">
      <c r="A172" t="s" s="15">
        <v>710</v>
      </c>
      <c r="B172" s="16">
        <v>2008</v>
      </c>
      <c r="C172" t="s" s="15">
        <v>711</v>
      </c>
      <c r="D172" t="s" s="17">
        <v>712</v>
      </c>
      <c r="E172" t="s" s="17">
        <v>713</v>
      </c>
      <c r="F172" s="18"/>
      <c r="G172" s="19">
        <v>2</v>
      </c>
      <c r="H172" t="s" s="20">
        <v>25</v>
      </c>
      <c r="I172" t="s" s="17">
        <v>26</v>
      </c>
      <c r="J172" t="s" s="17">
        <v>436</v>
      </c>
      <c r="K172" s="18"/>
      <c r="L172" s="18"/>
      <c r="M172" s="18"/>
      <c r="N172" s="18"/>
      <c r="O172" s="21"/>
      <c r="P172" s="21"/>
      <c r="Q172" s="21"/>
      <c r="R172" s="21"/>
      <c r="S172" s="21"/>
      <c r="T172" s="21"/>
    </row>
    <row r="173" ht="39.55" customHeight="1">
      <c r="A173" t="s" s="15">
        <v>714</v>
      </c>
      <c r="B173" s="16">
        <v>2012</v>
      </c>
      <c r="C173" t="s" s="15">
        <v>715</v>
      </c>
      <c r="D173" t="s" s="17">
        <v>716</v>
      </c>
      <c r="E173" s="18"/>
      <c r="F173" s="18"/>
      <c r="G173" s="19">
        <v>2</v>
      </c>
      <c r="H173" t="s" s="20">
        <v>25</v>
      </c>
      <c r="I173" t="s" s="17">
        <v>26</v>
      </c>
      <c r="J173" t="s" s="17">
        <v>85</v>
      </c>
      <c r="K173" s="18"/>
      <c r="L173" s="18"/>
      <c r="M173" s="18"/>
      <c r="N173" s="18"/>
      <c r="O173" s="21"/>
      <c r="P173" s="21"/>
      <c r="Q173" s="21"/>
      <c r="R173" s="21"/>
      <c r="S173" s="21"/>
      <c r="T173" s="21"/>
    </row>
    <row r="174" ht="30" customHeight="1">
      <c r="A174" t="s" s="15">
        <v>717</v>
      </c>
      <c r="B174" s="16">
        <v>2012</v>
      </c>
      <c r="C174" t="s" s="15">
        <v>718</v>
      </c>
      <c r="D174" t="s" s="17">
        <v>719</v>
      </c>
      <c r="E174" t="s" s="17">
        <v>720</v>
      </c>
      <c r="F174" s="18"/>
      <c r="G174" s="19">
        <v>2</v>
      </c>
      <c r="H174" t="s" s="20">
        <v>25</v>
      </c>
      <c r="I174" t="s" s="17">
        <v>26</v>
      </c>
      <c r="J174" t="s" s="17">
        <v>27</v>
      </c>
      <c r="K174" s="18"/>
      <c r="L174" s="18"/>
      <c r="M174" s="18"/>
      <c r="N174" s="18"/>
      <c r="O174" s="21"/>
      <c r="P174" s="21"/>
      <c r="Q174" s="21"/>
      <c r="R174" s="21"/>
      <c r="S174" s="21"/>
      <c r="T174" s="21"/>
    </row>
    <row r="175" ht="26.55" customHeight="1">
      <c r="A175" t="s" s="15">
        <v>721</v>
      </c>
      <c r="B175" s="16">
        <v>2020</v>
      </c>
      <c r="C175" t="s" s="15">
        <v>722</v>
      </c>
      <c r="D175" t="s" s="17">
        <v>723</v>
      </c>
      <c r="E175" t="s" s="17">
        <v>724</v>
      </c>
      <c r="F175" s="18"/>
      <c r="G175" s="19">
        <v>2</v>
      </c>
      <c r="H175" t="s" s="20">
        <v>25</v>
      </c>
      <c r="I175" t="s" s="17">
        <v>26</v>
      </c>
      <c r="J175" t="s" s="17">
        <v>31</v>
      </c>
      <c r="K175" s="18"/>
      <c r="L175" s="18"/>
      <c r="M175" s="18"/>
      <c r="N175" s="18"/>
      <c r="O175" s="21"/>
      <c r="P175" s="21"/>
      <c r="Q175" s="21"/>
      <c r="R175" s="21"/>
      <c r="S175" s="21"/>
      <c r="T175" s="21"/>
    </row>
    <row r="176" ht="30" customHeight="1">
      <c r="A176" t="s" s="15">
        <v>725</v>
      </c>
      <c r="B176" s="16">
        <v>2023</v>
      </c>
      <c r="C176" t="s" s="15">
        <v>726</v>
      </c>
      <c r="D176" t="s" s="17">
        <v>727</v>
      </c>
      <c r="E176" t="s" s="17">
        <v>728</v>
      </c>
      <c r="F176" s="18"/>
      <c r="G176" s="19">
        <v>2</v>
      </c>
      <c r="H176" t="s" s="20">
        <v>25</v>
      </c>
      <c r="I176" t="s" s="17">
        <v>26</v>
      </c>
      <c r="J176" t="s" s="17">
        <v>27</v>
      </c>
      <c r="K176" s="18"/>
      <c r="L176" s="18"/>
      <c r="M176" s="18"/>
      <c r="N176" s="18"/>
      <c r="O176" s="21"/>
      <c r="P176" s="21"/>
      <c r="Q176" s="21"/>
      <c r="R176" s="21"/>
      <c r="S176" s="21"/>
      <c r="T176" s="21"/>
    </row>
    <row r="177" ht="26.55" customHeight="1">
      <c r="A177" t="s" s="15">
        <v>729</v>
      </c>
      <c r="B177" s="16">
        <v>2014</v>
      </c>
      <c r="C177" t="s" s="15">
        <v>730</v>
      </c>
      <c r="D177" t="s" s="17">
        <v>731</v>
      </c>
      <c r="E177" t="s" s="17">
        <v>732</v>
      </c>
      <c r="F177" s="18"/>
      <c r="G177" s="19">
        <v>3</v>
      </c>
      <c r="H177" t="s" s="20">
        <v>25</v>
      </c>
      <c r="I177" t="s" s="17">
        <v>26</v>
      </c>
      <c r="J177" t="s" s="17">
        <v>85</v>
      </c>
      <c r="K177" t="s" s="17">
        <v>733</v>
      </c>
      <c r="L177" s="18"/>
      <c r="M177" s="18"/>
      <c r="N177" s="18"/>
      <c r="O177" s="21"/>
      <c r="P177" s="21"/>
      <c r="Q177" s="21"/>
      <c r="R177" s="21"/>
      <c r="S177" s="21"/>
      <c r="T177" s="21"/>
    </row>
    <row r="178" ht="30" customHeight="1">
      <c r="A178" t="s" s="15">
        <v>734</v>
      </c>
      <c r="B178" s="16">
        <v>2018</v>
      </c>
      <c r="C178" t="s" s="15">
        <v>730</v>
      </c>
      <c r="D178" t="s" s="17">
        <v>735</v>
      </c>
      <c r="E178" t="s" s="17">
        <v>736</v>
      </c>
      <c r="F178" s="18"/>
      <c r="G178" s="19">
        <v>2</v>
      </c>
      <c r="H178" t="s" s="20">
        <v>25</v>
      </c>
      <c r="I178" t="s" s="17">
        <v>26</v>
      </c>
      <c r="J178" t="s" s="17">
        <v>27</v>
      </c>
      <c r="K178" s="18"/>
      <c r="L178" s="18"/>
      <c r="M178" s="18"/>
      <c r="N178" s="18"/>
      <c r="O178" s="21"/>
      <c r="P178" s="21"/>
      <c r="Q178" s="21"/>
      <c r="R178" s="21"/>
      <c r="S178" s="21"/>
      <c r="T178" s="21"/>
    </row>
    <row r="179" ht="30" customHeight="1">
      <c r="A179" t="s" s="15">
        <v>737</v>
      </c>
      <c r="B179" s="16">
        <v>2016</v>
      </c>
      <c r="C179" t="s" s="15">
        <v>738</v>
      </c>
      <c r="D179" t="s" s="17">
        <v>739</v>
      </c>
      <c r="E179" t="s" s="17">
        <v>740</v>
      </c>
      <c r="F179" s="18"/>
      <c r="G179" s="19">
        <v>2</v>
      </c>
      <c r="H179" t="s" s="20">
        <v>25</v>
      </c>
      <c r="I179" t="s" s="17">
        <v>26</v>
      </c>
      <c r="J179" t="s" s="17">
        <v>27</v>
      </c>
      <c r="K179" t="s" s="17">
        <v>32</v>
      </c>
      <c r="L179" s="18"/>
      <c r="M179" s="18"/>
      <c r="N179" s="18"/>
      <c r="O179" s="21"/>
      <c r="P179" s="21"/>
      <c r="Q179" s="21"/>
      <c r="R179" s="21"/>
      <c r="S179" s="21"/>
      <c r="T179" s="21"/>
    </row>
    <row r="180" ht="30" customHeight="1">
      <c r="A180" t="s" s="15">
        <v>741</v>
      </c>
      <c r="B180" s="16">
        <v>2020</v>
      </c>
      <c r="C180" t="s" s="15">
        <v>742</v>
      </c>
      <c r="D180" t="s" s="17">
        <v>743</v>
      </c>
      <c r="E180" s="18"/>
      <c r="F180" s="18"/>
      <c r="G180" s="19">
        <v>2</v>
      </c>
      <c r="H180" t="s" s="20">
        <v>25</v>
      </c>
      <c r="I180" t="s" s="17">
        <v>26</v>
      </c>
      <c r="J180" t="s" s="17">
        <v>31</v>
      </c>
      <c r="K180" s="18"/>
      <c r="L180" s="18"/>
      <c r="M180" s="18"/>
      <c r="N180" s="18"/>
      <c r="O180" s="21"/>
      <c r="P180" s="21"/>
      <c r="Q180" s="21"/>
      <c r="R180" s="21"/>
      <c r="S180" s="21"/>
      <c r="T180" s="21"/>
    </row>
    <row r="181" ht="30" customHeight="1">
      <c r="A181" t="s" s="15">
        <v>744</v>
      </c>
      <c r="B181" s="16">
        <v>2005</v>
      </c>
      <c r="C181" t="s" s="15">
        <v>745</v>
      </c>
      <c r="D181" t="s" s="17">
        <v>746</v>
      </c>
      <c r="E181" t="s" s="17">
        <v>747</v>
      </c>
      <c r="F181" s="18"/>
      <c r="G181" s="19">
        <v>2</v>
      </c>
      <c r="H181" t="s" s="20">
        <v>25</v>
      </c>
      <c r="I181" t="s" s="17">
        <v>42</v>
      </c>
      <c r="J181" s="18"/>
      <c r="K181" t="s" s="17">
        <v>43</v>
      </c>
      <c r="L181" t="s" s="17">
        <v>42</v>
      </c>
      <c r="M181" t="s" s="17">
        <v>212</v>
      </c>
      <c r="N181" s="18"/>
      <c r="O181" s="21"/>
      <c r="P181" t="s" s="20">
        <v>46</v>
      </c>
      <c r="Q181" s="21"/>
      <c r="R181" s="21"/>
      <c r="S181" s="21"/>
      <c r="T181" s="21"/>
    </row>
    <row r="182" ht="30" customHeight="1">
      <c r="A182" t="s" s="15">
        <v>748</v>
      </c>
      <c r="B182" s="16">
        <v>2005</v>
      </c>
      <c r="C182" t="s" s="15">
        <v>745</v>
      </c>
      <c r="D182" t="s" s="17">
        <v>746</v>
      </c>
      <c r="E182" t="s" s="17">
        <v>749</v>
      </c>
      <c r="F182" s="18"/>
      <c r="G182" s="19">
        <v>2</v>
      </c>
      <c r="H182" t="s" s="20">
        <v>25</v>
      </c>
      <c r="I182" t="s" s="17">
        <v>26</v>
      </c>
      <c r="J182" t="s" s="17">
        <v>27</v>
      </c>
      <c r="K182" s="18"/>
      <c r="L182" s="18"/>
      <c r="M182" s="18"/>
      <c r="N182" s="18"/>
      <c r="O182" s="21"/>
      <c r="P182" s="21"/>
      <c r="Q182" s="21"/>
      <c r="R182" s="21"/>
      <c r="S182" s="21"/>
      <c r="T182" s="21"/>
    </row>
    <row r="183" ht="13.55" customHeight="1">
      <c r="A183" t="s" s="15">
        <v>750</v>
      </c>
      <c r="B183" s="16">
        <v>2005</v>
      </c>
      <c r="C183" t="s" s="15">
        <v>751</v>
      </c>
      <c r="D183" t="s" s="17">
        <v>752</v>
      </c>
      <c r="E183" t="s" s="17">
        <v>753</v>
      </c>
      <c r="F183" s="18"/>
      <c r="G183" s="19">
        <v>2</v>
      </c>
      <c r="H183" t="s" s="20">
        <v>25</v>
      </c>
      <c r="I183" t="s" s="17">
        <v>26</v>
      </c>
      <c r="J183" t="s" s="17">
        <v>31</v>
      </c>
      <c r="K183" t="s" s="17">
        <v>86</v>
      </c>
      <c r="L183" s="18"/>
      <c r="M183" s="18"/>
      <c r="N183" s="18"/>
      <c r="O183" s="21"/>
      <c r="P183" s="21"/>
      <c r="Q183" s="21"/>
      <c r="R183" s="21"/>
      <c r="S183" s="21"/>
      <c r="T183" s="21"/>
    </row>
    <row r="184" ht="30" customHeight="1">
      <c r="A184" t="s" s="15">
        <v>754</v>
      </c>
      <c r="B184" s="16">
        <v>2015</v>
      </c>
      <c r="C184" t="s" s="15">
        <v>755</v>
      </c>
      <c r="D184" t="s" s="17">
        <v>756</v>
      </c>
      <c r="E184" t="s" s="17">
        <v>757</v>
      </c>
      <c r="F184" s="18"/>
      <c r="G184" s="19">
        <v>3</v>
      </c>
      <c r="H184" t="s" s="20">
        <v>46</v>
      </c>
      <c r="I184" t="s" s="17">
        <v>26</v>
      </c>
      <c r="J184" t="s" s="17">
        <v>85</v>
      </c>
      <c r="K184" s="18"/>
      <c r="L184" s="18"/>
      <c r="M184" s="18"/>
      <c r="N184" s="18"/>
      <c r="O184" s="21"/>
      <c r="P184" s="21"/>
      <c r="Q184" s="21"/>
      <c r="R184" s="21"/>
      <c r="S184" s="21"/>
      <c r="T184" s="21"/>
    </row>
    <row r="185" ht="26.55" customHeight="1">
      <c r="A185" t="s" s="15">
        <v>758</v>
      </c>
      <c r="B185" s="16">
        <v>2009</v>
      </c>
      <c r="C185" t="s" s="15">
        <v>759</v>
      </c>
      <c r="D185" t="s" s="17">
        <v>760</v>
      </c>
      <c r="E185" s="18"/>
      <c r="F185" s="18"/>
      <c r="G185" s="19">
        <v>3</v>
      </c>
      <c r="H185" t="s" s="20">
        <v>46</v>
      </c>
      <c r="I185" t="s" s="17">
        <v>26</v>
      </c>
      <c r="J185" t="s" s="17">
        <v>31</v>
      </c>
      <c r="K185" s="18"/>
      <c r="L185" s="18"/>
      <c r="M185" s="18"/>
      <c r="N185" s="18"/>
      <c r="O185" s="21"/>
      <c r="P185" s="21"/>
      <c r="Q185" s="21"/>
      <c r="R185" s="21"/>
      <c r="S185" s="21"/>
      <c r="T185" s="21"/>
    </row>
    <row r="186" ht="30" customHeight="1">
      <c r="A186" t="s" s="15">
        <v>761</v>
      </c>
      <c r="B186" s="16">
        <v>2019</v>
      </c>
      <c r="C186" t="s" s="15">
        <v>762</v>
      </c>
      <c r="D186" t="s" s="17">
        <v>763</v>
      </c>
      <c r="E186" t="s" s="17">
        <v>764</v>
      </c>
      <c r="F186" s="18"/>
      <c r="G186" s="19">
        <v>2</v>
      </c>
      <c r="H186" t="s" s="20">
        <v>25</v>
      </c>
      <c r="I186" t="s" s="17">
        <v>26</v>
      </c>
      <c r="J186" t="s" s="17">
        <v>27</v>
      </c>
      <c r="K186" t="s" s="17">
        <v>86</v>
      </c>
      <c r="L186" s="18"/>
      <c r="M186" s="18"/>
      <c r="N186" s="18"/>
      <c r="O186" s="21"/>
      <c r="P186" s="21"/>
      <c r="Q186" s="21"/>
      <c r="R186" s="21"/>
      <c r="S186" s="21"/>
      <c r="T186" s="21"/>
    </row>
    <row r="187" ht="30" customHeight="1">
      <c r="A187" t="s" s="15">
        <v>765</v>
      </c>
      <c r="B187" s="16">
        <v>2013</v>
      </c>
      <c r="C187" t="s" s="15">
        <v>766</v>
      </c>
      <c r="D187" t="s" s="17">
        <v>767</v>
      </c>
      <c r="E187" s="18"/>
      <c r="F187" s="18"/>
      <c r="G187" s="19">
        <v>3</v>
      </c>
      <c r="H187" t="s" s="20">
        <v>46</v>
      </c>
      <c r="I187" t="s" s="17">
        <v>26</v>
      </c>
      <c r="J187" t="s" s="17">
        <v>131</v>
      </c>
      <c r="K187" s="18"/>
      <c r="L187" s="18"/>
      <c r="M187" s="18"/>
      <c r="N187" s="18"/>
      <c r="O187" s="21"/>
      <c r="P187" s="21"/>
      <c r="Q187" s="21"/>
      <c r="R187" s="21"/>
      <c r="S187" s="21"/>
      <c r="T187" s="21"/>
    </row>
    <row r="188" ht="39.55" customHeight="1">
      <c r="A188" t="s" s="15">
        <v>768</v>
      </c>
      <c r="B188" s="16">
        <v>2005</v>
      </c>
      <c r="C188" t="s" s="15">
        <v>769</v>
      </c>
      <c r="D188" t="s" s="17">
        <v>770</v>
      </c>
      <c r="E188" t="s" s="17">
        <v>771</v>
      </c>
      <c r="F188" s="18"/>
      <c r="G188" s="19">
        <v>2</v>
      </c>
      <c r="H188" t="s" s="20">
        <v>25</v>
      </c>
      <c r="I188" t="s" s="17">
        <v>26</v>
      </c>
      <c r="J188" t="s" s="17">
        <v>61</v>
      </c>
      <c r="K188" s="18"/>
      <c r="L188" s="18"/>
      <c r="M188" s="18"/>
      <c r="N188" s="18"/>
      <c r="O188" s="21"/>
      <c r="P188" s="21"/>
      <c r="Q188" s="21"/>
      <c r="R188" s="21"/>
      <c r="S188" s="21"/>
      <c r="T188" s="21"/>
    </row>
    <row r="189" ht="39.55" customHeight="1">
      <c r="A189" t="s" s="15">
        <v>772</v>
      </c>
      <c r="B189" s="16">
        <v>2005</v>
      </c>
      <c r="C189" t="s" s="15">
        <v>769</v>
      </c>
      <c r="D189" t="s" s="17">
        <v>770</v>
      </c>
      <c r="E189" t="s" s="17">
        <v>773</v>
      </c>
      <c r="F189" s="18"/>
      <c r="G189" s="19">
        <v>2</v>
      </c>
      <c r="H189" t="s" s="20">
        <v>25</v>
      </c>
      <c r="I189" t="s" s="17">
        <v>26</v>
      </c>
      <c r="J189" t="s" s="17">
        <v>131</v>
      </c>
      <c r="K189" s="18"/>
      <c r="L189" s="18"/>
      <c r="M189" s="18"/>
      <c r="N189" s="18"/>
      <c r="O189" s="21"/>
      <c r="P189" s="21"/>
      <c r="Q189" s="21"/>
      <c r="R189" s="21"/>
      <c r="S189" s="21"/>
      <c r="T189" s="21"/>
    </row>
    <row r="190" ht="30" customHeight="1">
      <c r="A190" t="s" s="15">
        <v>774</v>
      </c>
      <c r="B190" s="16">
        <v>2022</v>
      </c>
      <c r="C190" t="s" s="15">
        <v>775</v>
      </c>
      <c r="D190" t="s" s="17">
        <v>776</v>
      </c>
      <c r="E190" t="s" s="17">
        <v>777</v>
      </c>
      <c r="F190" s="18"/>
      <c r="G190" s="19">
        <v>3</v>
      </c>
      <c r="H190" t="s" s="20">
        <v>46</v>
      </c>
      <c r="I190" t="s" s="17">
        <v>26</v>
      </c>
      <c r="J190" t="s" s="17">
        <v>85</v>
      </c>
      <c r="K190" s="18"/>
      <c r="L190" s="18"/>
      <c r="M190" s="18"/>
      <c r="N190" s="18"/>
      <c r="O190" s="21"/>
      <c r="P190" s="21"/>
      <c r="Q190" s="21"/>
      <c r="R190" s="21"/>
      <c r="S190" s="21"/>
      <c r="T190" s="21"/>
    </row>
    <row r="191" ht="30" customHeight="1">
      <c r="A191" t="s" s="15">
        <v>778</v>
      </c>
      <c r="B191" s="16">
        <v>2013</v>
      </c>
      <c r="C191" t="s" s="15">
        <v>779</v>
      </c>
      <c r="D191" t="s" s="17">
        <v>780</v>
      </c>
      <c r="E191" t="s" s="17">
        <v>781</v>
      </c>
      <c r="F191" t="s" s="17">
        <v>782</v>
      </c>
      <c r="G191" s="19">
        <v>3</v>
      </c>
      <c r="H191" t="s" s="20">
        <v>46</v>
      </c>
      <c r="I191" t="s" s="17">
        <v>42</v>
      </c>
      <c r="J191" s="18"/>
      <c r="K191" t="s" s="17">
        <v>293</v>
      </c>
      <c r="L191" t="s" s="17">
        <v>42</v>
      </c>
      <c r="M191" t="s" s="17">
        <v>44</v>
      </c>
      <c r="N191" s="18"/>
      <c r="O191" t="s" s="20">
        <v>783</v>
      </c>
      <c r="P191" t="s" s="20">
        <v>46</v>
      </c>
      <c r="Q191" t="s" s="20">
        <v>277</v>
      </c>
      <c r="R191" s="21"/>
      <c r="S191" t="s" s="20">
        <v>277</v>
      </c>
      <c r="T191" s="21"/>
    </row>
    <row r="192" ht="30" customHeight="1">
      <c r="A192" t="s" s="15">
        <v>784</v>
      </c>
      <c r="B192" s="16">
        <v>2019</v>
      </c>
      <c r="C192" t="s" s="15">
        <v>785</v>
      </c>
      <c r="D192" t="s" s="17">
        <v>786</v>
      </c>
      <c r="E192" t="s" s="17">
        <v>787</v>
      </c>
      <c r="F192" s="18"/>
      <c r="G192" s="19">
        <v>3</v>
      </c>
      <c r="H192" t="s" s="20">
        <v>46</v>
      </c>
      <c r="I192" t="s" s="17">
        <v>26</v>
      </c>
      <c r="J192" t="s" s="17">
        <v>85</v>
      </c>
      <c r="K192" s="18"/>
      <c r="L192" s="18"/>
      <c r="M192" s="18"/>
      <c r="N192" s="18"/>
      <c r="O192" s="21"/>
      <c r="P192" s="21"/>
      <c r="Q192" s="21"/>
      <c r="R192" s="21"/>
      <c r="S192" s="21"/>
      <c r="T192" s="21"/>
    </row>
    <row r="193" ht="30" customHeight="1">
      <c r="A193" t="s" s="15">
        <v>788</v>
      </c>
      <c r="B193" s="16">
        <v>2018</v>
      </c>
      <c r="C193" t="s" s="15">
        <v>789</v>
      </c>
      <c r="D193" t="s" s="17">
        <v>790</v>
      </c>
      <c r="E193" t="s" s="17">
        <v>791</v>
      </c>
      <c r="F193" s="18"/>
      <c r="G193" s="19">
        <v>3</v>
      </c>
      <c r="H193" t="s" s="20">
        <v>46</v>
      </c>
      <c r="I193" t="s" s="17">
        <v>26</v>
      </c>
      <c r="J193" t="s" s="17">
        <v>386</v>
      </c>
      <c r="K193" t="s" s="17">
        <v>792</v>
      </c>
      <c r="L193" s="18"/>
      <c r="M193" s="18"/>
      <c r="N193" s="18"/>
      <c r="O193" s="21"/>
      <c r="P193" s="21"/>
      <c r="Q193" s="21"/>
      <c r="R193" s="21"/>
      <c r="S193" s="21"/>
      <c r="T193" s="21"/>
    </row>
    <row r="194" ht="30" customHeight="1">
      <c r="A194" t="s" s="15">
        <v>793</v>
      </c>
      <c r="B194" s="16">
        <v>2022</v>
      </c>
      <c r="C194" t="s" s="15">
        <v>794</v>
      </c>
      <c r="D194" t="s" s="17">
        <v>795</v>
      </c>
      <c r="E194" t="s" s="17">
        <v>796</v>
      </c>
      <c r="F194" s="18"/>
      <c r="G194" s="19">
        <v>4</v>
      </c>
      <c r="H194" t="s" s="20">
        <v>46</v>
      </c>
      <c r="I194" t="s" s="17">
        <v>42</v>
      </c>
      <c r="J194" t="s" s="17">
        <v>31</v>
      </c>
      <c r="K194" t="s" s="17">
        <v>797</v>
      </c>
      <c r="L194" s="18"/>
      <c r="M194" s="18"/>
      <c r="N194" s="18"/>
      <c r="O194" s="21"/>
      <c r="P194" s="21"/>
      <c r="Q194" s="21"/>
      <c r="R194" s="21"/>
      <c r="S194" s="21"/>
      <c r="T194" s="21"/>
    </row>
    <row r="195" ht="39.55" customHeight="1">
      <c r="A195" t="s" s="15">
        <v>798</v>
      </c>
      <c r="B195" s="16">
        <v>2007</v>
      </c>
      <c r="C195" t="s" s="15">
        <v>799</v>
      </c>
      <c r="D195" t="s" s="17">
        <v>800</v>
      </c>
      <c r="E195" t="s" s="17">
        <v>801</v>
      </c>
      <c r="F195" s="18"/>
      <c r="G195" s="19">
        <v>4</v>
      </c>
      <c r="H195" t="s" s="20">
        <v>46</v>
      </c>
      <c r="I195" t="s" s="17">
        <v>26</v>
      </c>
      <c r="J195" t="s" s="17">
        <v>802</v>
      </c>
      <c r="K195" s="18"/>
      <c r="L195" s="18"/>
      <c r="M195" s="18"/>
      <c r="N195" s="18"/>
      <c r="O195" s="21"/>
      <c r="P195" s="21"/>
      <c r="Q195" s="21"/>
      <c r="R195" s="21"/>
      <c r="S195" s="21"/>
      <c r="T195" s="21"/>
    </row>
    <row r="196" ht="30" customHeight="1">
      <c r="A196" t="s" s="15">
        <v>803</v>
      </c>
      <c r="B196" s="16">
        <v>2020</v>
      </c>
      <c r="C196" t="s" s="15">
        <v>804</v>
      </c>
      <c r="D196" t="s" s="17">
        <v>805</v>
      </c>
      <c r="E196" t="s" s="17">
        <v>806</v>
      </c>
      <c r="F196" s="18"/>
      <c r="G196" s="19">
        <v>4</v>
      </c>
      <c r="H196" t="s" s="20">
        <v>46</v>
      </c>
      <c r="I196" t="s" s="17">
        <v>42</v>
      </c>
      <c r="J196" s="18"/>
      <c r="K196" t="s" s="17">
        <v>293</v>
      </c>
      <c r="L196" t="s" s="17">
        <v>42</v>
      </c>
      <c r="M196" t="s" s="17">
        <v>44</v>
      </c>
      <c r="N196" s="18"/>
      <c r="O196" s="21"/>
      <c r="P196" t="s" s="20">
        <v>46</v>
      </c>
      <c r="Q196" t="s" s="20">
        <v>277</v>
      </c>
      <c r="R196" s="21"/>
      <c r="S196" t="s" s="20">
        <v>277</v>
      </c>
      <c r="T196" s="21"/>
    </row>
    <row r="197" ht="30" customHeight="1">
      <c r="A197" t="s" s="15">
        <v>807</v>
      </c>
      <c r="B197" s="16">
        <v>2017</v>
      </c>
      <c r="C197" t="s" s="15">
        <v>808</v>
      </c>
      <c r="D197" t="s" s="17">
        <v>809</v>
      </c>
      <c r="E197" t="s" s="17">
        <v>810</v>
      </c>
      <c r="F197" s="18"/>
      <c r="G197" s="19">
        <v>4</v>
      </c>
      <c r="H197" t="s" s="20">
        <v>25</v>
      </c>
      <c r="I197" t="s" s="17">
        <v>26</v>
      </c>
      <c r="J197" t="s" s="17">
        <v>811</v>
      </c>
      <c r="K197" s="18"/>
      <c r="L197" s="18"/>
      <c r="M197" s="18"/>
      <c r="N197" s="18"/>
      <c r="O197" s="21"/>
      <c r="P197" s="21"/>
      <c r="Q197" s="21"/>
      <c r="R197" s="21"/>
      <c r="S197" s="21"/>
      <c r="T197" s="21"/>
    </row>
    <row r="198" ht="30" customHeight="1">
      <c r="A198" t="s" s="15">
        <v>812</v>
      </c>
      <c r="B198" s="16">
        <v>2005</v>
      </c>
      <c r="C198" t="s" s="15">
        <v>813</v>
      </c>
      <c r="D198" t="s" s="17">
        <v>814</v>
      </c>
      <c r="E198" t="s" s="17">
        <v>815</v>
      </c>
      <c r="F198" s="18"/>
      <c r="G198" s="19">
        <v>3</v>
      </c>
      <c r="H198" t="s" s="20">
        <v>25</v>
      </c>
      <c r="I198" t="s" s="17">
        <v>26</v>
      </c>
      <c r="J198" t="s" s="17">
        <v>102</v>
      </c>
      <c r="K198" s="18"/>
      <c r="L198" s="18"/>
      <c r="M198" s="18"/>
      <c r="N198" s="18"/>
      <c r="O198" s="21"/>
      <c r="P198" s="21"/>
      <c r="Q198" s="21"/>
      <c r="R198" s="21"/>
      <c r="S198" s="21"/>
      <c r="T198" s="21"/>
    </row>
    <row r="199" ht="30" customHeight="1">
      <c r="A199" t="s" s="15">
        <v>816</v>
      </c>
      <c r="B199" s="16">
        <v>2006</v>
      </c>
      <c r="C199" t="s" s="15">
        <v>817</v>
      </c>
      <c r="D199" t="s" s="17">
        <v>818</v>
      </c>
      <c r="E199" t="s" s="17">
        <v>819</v>
      </c>
      <c r="F199" s="18"/>
      <c r="G199" s="19">
        <v>3</v>
      </c>
      <c r="H199" t="s" s="20">
        <v>25</v>
      </c>
      <c r="I199" t="s" s="17">
        <v>42</v>
      </c>
      <c r="J199" s="18"/>
      <c r="K199" t="s" s="17">
        <v>293</v>
      </c>
      <c r="L199" t="s" s="17">
        <v>26</v>
      </c>
      <c r="M199" s="18"/>
      <c r="N199" t="s" s="17">
        <v>316</v>
      </c>
      <c r="O199" t="s" s="20">
        <v>820</v>
      </c>
      <c r="P199" s="21"/>
      <c r="Q199" s="21"/>
      <c r="R199" s="21"/>
      <c r="S199" s="21"/>
      <c r="T199" s="21"/>
    </row>
    <row r="200" ht="30" customHeight="1">
      <c r="A200" t="s" s="15">
        <v>821</v>
      </c>
      <c r="B200" s="16">
        <v>2008</v>
      </c>
      <c r="C200" t="s" s="15">
        <v>817</v>
      </c>
      <c r="D200" t="s" s="17">
        <v>822</v>
      </c>
      <c r="E200" t="s" s="17">
        <v>823</v>
      </c>
      <c r="F200" s="18"/>
      <c r="G200" s="19">
        <v>3</v>
      </c>
      <c r="H200" t="s" s="20">
        <v>46</v>
      </c>
      <c r="I200" t="s" s="17">
        <v>42</v>
      </c>
      <c r="J200" s="18"/>
      <c r="K200" t="s" s="17">
        <v>43</v>
      </c>
      <c r="L200" t="s" s="17">
        <v>42</v>
      </c>
      <c r="M200" t="s" s="17">
        <v>212</v>
      </c>
      <c r="N200" s="18"/>
      <c r="O200" s="21"/>
      <c r="P200" t="s" s="20">
        <v>25</v>
      </c>
      <c r="Q200" s="21"/>
      <c r="R200" s="21"/>
      <c r="S200" s="21"/>
      <c r="T200" s="21"/>
    </row>
    <row r="201" ht="30" customHeight="1">
      <c r="A201" t="s" s="15">
        <v>824</v>
      </c>
      <c r="B201" s="16">
        <v>2008</v>
      </c>
      <c r="C201" t="s" s="15">
        <v>817</v>
      </c>
      <c r="D201" t="s" s="17">
        <v>822</v>
      </c>
      <c r="E201" t="s" s="17">
        <v>825</v>
      </c>
      <c r="F201" s="18"/>
      <c r="G201" s="19">
        <v>3</v>
      </c>
      <c r="H201" t="s" s="20">
        <v>25</v>
      </c>
      <c r="I201" t="s" s="17">
        <v>26</v>
      </c>
      <c r="J201" t="s" s="17">
        <v>826</v>
      </c>
      <c r="K201" s="18"/>
      <c r="L201" s="18"/>
      <c r="M201" s="18"/>
      <c r="N201" s="18"/>
      <c r="O201" s="21"/>
      <c r="P201" s="21"/>
      <c r="Q201" s="21"/>
      <c r="R201" s="21"/>
      <c r="S201" s="21"/>
      <c r="T201" s="21"/>
    </row>
    <row r="202" ht="30" customHeight="1">
      <c r="A202" t="s" s="15">
        <v>827</v>
      </c>
      <c r="B202" s="16">
        <v>2010</v>
      </c>
      <c r="C202" t="s" s="15">
        <v>817</v>
      </c>
      <c r="D202" t="s" s="17">
        <v>828</v>
      </c>
      <c r="E202" t="s" s="17">
        <v>829</v>
      </c>
      <c r="F202" s="18"/>
      <c r="G202" s="19">
        <v>4</v>
      </c>
      <c r="H202" t="s" s="20">
        <v>46</v>
      </c>
      <c r="I202" t="s" s="17">
        <v>26</v>
      </c>
      <c r="J202" t="s" s="17">
        <v>93</v>
      </c>
      <c r="K202" s="18"/>
      <c r="L202" s="18"/>
      <c r="M202" s="18"/>
      <c r="N202" s="18"/>
      <c r="O202" s="21"/>
      <c r="P202" s="21"/>
      <c r="Q202" s="21"/>
      <c r="R202" s="21"/>
      <c r="S202" s="21"/>
      <c r="T202" s="21"/>
    </row>
    <row r="203" ht="45" customHeight="1">
      <c r="A203" t="s" s="15">
        <v>830</v>
      </c>
      <c r="B203" s="16">
        <v>2010</v>
      </c>
      <c r="C203" t="s" s="15">
        <v>817</v>
      </c>
      <c r="D203" t="s" s="17">
        <v>828</v>
      </c>
      <c r="E203" t="s" s="17">
        <v>831</v>
      </c>
      <c r="F203" s="18"/>
      <c r="G203" s="19">
        <v>2</v>
      </c>
      <c r="H203" t="s" s="20">
        <v>25</v>
      </c>
      <c r="I203" t="s" s="17">
        <v>26</v>
      </c>
      <c r="J203" t="s" s="17">
        <v>832</v>
      </c>
      <c r="K203" t="s" s="17">
        <v>467</v>
      </c>
      <c r="L203" s="18"/>
      <c r="M203" s="18"/>
      <c r="N203" s="18"/>
      <c r="O203" s="21"/>
      <c r="P203" s="21"/>
      <c r="Q203" s="21"/>
      <c r="R203" s="21"/>
      <c r="S203" s="21"/>
      <c r="T203" s="21"/>
    </row>
    <row r="204" ht="30" customHeight="1">
      <c r="A204" t="s" s="15">
        <v>833</v>
      </c>
      <c r="B204" s="16">
        <v>2011</v>
      </c>
      <c r="C204" t="s" s="15">
        <v>817</v>
      </c>
      <c r="D204" t="s" s="17">
        <v>834</v>
      </c>
      <c r="E204" t="s" s="17">
        <v>835</v>
      </c>
      <c r="F204" s="18"/>
      <c r="G204" s="19">
        <v>3</v>
      </c>
      <c r="H204" t="s" s="20">
        <v>25</v>
      </c>
      <c r="I204" t="s" s="17">
        <v>42</v>
      </c>
      <c r="J204" s="18"/>
      <c r="K204" t="s" s="17">
        <v>293</v>
      </c>
      <c r="L204" t="s" s="17">
        <v>26</v>
      </c>
      <c r="M204" s="18"/>
      <c r="N204" t="s" s="17">
        <v>662</v>
      </c>
      <c r="O204" t="s" s="20">
        <v>836</v>
      </c>
      <c r="P204" s="21"/>
      <c r="Q204" s="21"/>
      <c r="R204" s="21"/>
      <c r="S204" s="21"/>
      <c r="T204" s="21"/>
    </row>
    <row r="205" ht="39.55" customHeight="1">
      <c r="A205" t="s" s="15">
        <v>837</v>
      </c>
      <c r="B205" s="16">
        <v>2012</v>
      </c>
      <c r="C205" t="s" s="15">
        <v>817</v>
      </c>
      <c r="D205" t="s" s="17">
        <v>838</v>
      </c>
      <c r="E205" t="s" s="17">
        <v>839</v>
      </c>
      <c r="F205" s="18"/>
      <c r="G205" s="19">
        <v>3</v>
      </c>
      <c r="H205" t="s" s="20">
        <v>25</v>
      </c>
      <c r="I205" t="s" s="17">
        <v>26</v>
      </c>
      <c r="J205" t="s" s="17">
        <v>840</v>
      </c>
      <c r="K205" s="18"/>
      <c r="L205" s="18"/>
      <c r="M205" s="18"/>
      <c r="N205" s="18"/>
      <c r="O205" s="21"/>
      <c r="P205" s="21"/>
      <c r="Q205" s="21"/>
      <c r="R205" s="21"/>
      <c r="S205" s="21"/>
      <c r="T205" s="21"/>
    </row>
    <row r="206" ht="30" customHeight="1">
      <c r="A206" t="s" s="15">
        <v>841</v>
      </c>
      <c r="B206" s="16">
        <v>2020</v>
      </c>
      <c r="C206" t="s" s="15">
        <v>817</v>
      </c>
      <c r="D206" t="s" s="17">
        <v>842</v>
      </c>
      <c r="E206" t="s" s="17">
        <v>843</v>
      </c>
      <c r="F206" s="18"/>
      <c r="G206" s="19">
        <v>2</v>
      </c>
      <c r="H206" t="s" s="20">
        <v>25</v>
      </c>
      <c r="I206" t="s" s="17">
        <v>26</v>
      </c>
      <c r="J206" t="s" s="17">
        <v>85</v>
      </c>
      <c r="K206" s="18"/>
      <c r="L206" s="18"/>
      <c r="M206" s="18"/>
      <c r="N206" s="18"/>
      <c r="O206" s="21"/>
      <c r="P206" s="21"/>
      <c r="Q206" s="21"/>
      <c r="R206" s="21"/>
      <c r="S206" s="21"/>
      <c r="T206" s="21"/>
    </row>
    <row r="207" ht="30" customHeight="1">
      <c r="A207" t="s" s="15">
        <v>844</v>
      </c>
      <c r="B207" s="16">
        <v>2009</v>
      </c>
      <c r="C207" t="s" s="15">
        <v>845</v>
      </c>
      <c r="D207" t="s" s="17">
        <v>846</v>
      </c>
      <c r="E207" t="s" s="17">
        <v>847</v>
      </c>
      <c r="F207" s="18"/>
      <c r="G207" s="19">
        <v>2</v>
      </c>
      <c r="H207" t="s" s="20">
        <v>25</v>
      </c>
      <c r="I207" t="s" s="17">
        <v>26</v>
      </c>
      <c r="J207" t="s" s="17">
        <v>848</v>
      </c>
      <c r="K207" s="18"/>
      <c r="L207" s="18"/>
      <c r="M207" s="18"/>
      <c r="N207" s="18"/>
      <c r="O207" s="21"/>
      <c r="P207" s="21"/>
      <c r="Q207" s="21"/>
      <c r="R207" s="21"/>
      <c r="S207" s="21"/>
      <c r="T207" s="21"/>
    </row>
    <row r="208" ht="30" customHeight="1">
      <c r="A208" t="s" s="15">
        <v>849</v>
      </c>
      <c r="B208" s="16">
        <v>2022</v>
      </c>
      <c r="C208" t="s" s="15">
        <v>850</v>
      </c>
      <c r="D208" t="s" s="17">
        <v>851</v>
      </c>
      <c r="E208" t="s" s="17">
        <v>852</v>
      </c>
      <c r="F208" s="18"/>
      <c r="G208" s="19">
        <v>3</v>
      </c>
      <c r="H208" t="s" s="20">
        <v>46</v>
      </c>
      <c r="I208" t="s" s="17">
        <v>26</v>
      </c>
      <c r="J208" t="s" s="17">
        <v>93</v>
      </c>
      <c r="K208" s="18"/>
      <c r="L208" s="18"/>
      <c r="M208" s="18"/>
      <c r="N208" s="18"/>
      <c r="O208" s="21"/>
      <c r="P208" s="21"/>
      <c r="Q208" s="21"/>
      <c r="R208" s="21"/>
      <c r="S208" s="21"/>
      <c r="T208" s="21"/>
    </row>
    <row r="209" ht="30" customHeight="1">
      <c r="A209" t="s" s="15">
        <v>853</v>
      </c>
      <c r="B209" s="16">
        <v>2015</v>
      </c>
      <c r="C209" t="s" s="15">
        <v>854</v>
      </c>
      <c r="D209" t="s" s="17">
        <v>855</v>
      </c>
      <c r="E209" t="s" s="17">
        <v>856</v>
      </c>
      <c r="F209" s="18"/>
      <c r="G209" s="19">
        <v>3</v>
      </c>
      <c r="H209" t="s" s="20">
        <v>46</v>
      </c>
      <c r="I209" t="s" s="17">
        <v>26</v>
      </c>
      <c r="J209" t="s" s="17">
        <v>857</v>
      </c>
      <c r="K209" t="s" s="17">
        <v>32</v>
      </c>
      <c r="L209" s="18"/>
      <c r="M209" s="18"/>
      <c r="N209" s="18"/>
      <c r="O209" s="21"/>
      <c r="P209" s="21"/>
      <c r="Q209" s="21"/>
      <c r="R209" s="21"/>
      <c r="S209" s="21"/>
      <c r="T209" s="21"/>
    </row>
    <row r="210" ht="30" customHeight="1">
      <c r="A210" t="s" s="15">
        <v>858</v>
      </c>
      <c r="B210" s="16">
        <v>2008</v>
      </c>
      <c r="C210" t="s" s="15">
        <v>859</v>
      </c>
      <c r="D210" t="s" s="17">
        <v>860</v>
      </c>
      <c r="E210" t="s" s="17">
        <v>861</v>
      </c>
      <c r="F210" s="18"/>
      <c r="G210" s="19">
        <v>3</v>
      </c>
      <c r="H210" t="s" s="20">
        <v>46</v>
      </c>
      <c r="I210" t="s" s="17">
        <v>26</v>
      </c>
      <c r="J210" t="s" s="17">
        <v>93</v>
      </c>
      <c r="K210" s="18"/>
      <c r="L210" s="18"/>
      <c r="M210" s="18"/>
      <c r="N210" s="18"/>
      <c r="O210" s="21"/>
      <c r="P210" s="21"/>
      <c r="Q210" s="21"/>
      <c r="R210" s="21"/>
      <c r="S210" s="21"/>
      <c r="T210" s="21"/>
    </row>
    <row r="211" ht="30" customHeight="1">
      <c r="A211" t="s" s="15">
        <v>862</v>
      </c>
      <c r="B211" s="16">
        <v>2019</v>
      </c>
      <c r="C211" t="s" s="15">
        <v>863</v>
      </c>
      <c r="D211" t="s" s="17">
        <v>864</v>
      </c>
      <c r="E211" t="s" s="17">
        <v>865</v>
      </c>
      <c r="F211" s="18"/>
      <c r="G211" s="19">
        <v>3</v>
      </c>
      <c r="H211" t="s" s="20">
        <v>46</v>
      </c>
      <c r="I211" t="s" s="17">
        <v>26</v>
      </c>
      <c r="J211" t="s" s="17">
        <v>27</v>
      </c>
      <c r="K211" t="s" s="17">
        <v>32</v>
      </c>
      <c r="L211" s="18"/>
      <c r="M211" s="18"/>
      <c r="N211" s="18"/>
      <c r="O211" s="21"/>
      <c r="P211" s="21"/>
      <c r="Q211" s="21"/>
      <c r="R211" s="21"/>
      <c r="S211" s="21"/>
      <c r="T211" s="21"/>
    </row>
    <row r="212" ht="30" customHeight="1">
      <c r="A212" t="s" s="15">
        <v>866</v>
      </c>
      <c r="B212" s="16">
        <v>2013</v>
      </c>
      <c r="C212" t="s" s="15">
        <v>867</v>
      </c>
      <c r="D212" t="s" s="17">
        <v>868</v>
      </c>
      <c r="E212" t="s" s="17">
        <v>869</v>
      </c>
      <c r="F212" s="18"/>
      <c r="G212" s="19">
        <v>2</v>
      </c>
      <c r="H212" t="s" s="20">
        <v>25</v>
      </c>
      <c r="I212" t="s" s="17">
        <v>26</v>
      </c>
      <c r="J212" t="s" s="17">
        <v>187</v>
      </c>
      <c r="K212" s="18"/>
      <c r="L212" s="18"/>
      <c r="M212" s="18"/>
      <c r="N212" s="18"/>
      <c r="O212" s="21"/>
      <c r="P212" s="21"/>
      <c r="Q212" s="21"/>
      <c r="R212" s="21"/>
      <c r="S212" s="21"/>
      <c r="T212" s="21"/>
    </row>
    <row r="213" ht="39.55" customHeight="1">
      <c r="A213" t="s" s="15">
        <v>870</v>
      </c>
      <c r="B213" s="16">
        <v>2022</v>
      </c>
      <c r="C213" t="s" s="15">
        <v>871</v>
      </c>
      <c r="D213" t="s" s="17">
        <v>872</v>
      </c>
      <c r="E213" t="s" s="17">
        <v>873</v>
      </c>
      <c r="F213" s="18"/>
      <c r="G213" s="19">
        <v>2</v>
      </c>
      <c r="H213" t="s" s="20">
        <v>25</v>
      </c>
      <c r="I213" t="s" s="17">
        <v>26</v>
      </c>
      <c r="J213" t="s" s="17">
        <v>93</v>
      </c>
      <c r="K213" s="18"/>
      <c r="L213" s="18"/>
      <c r="M213" s="18"/>
      <c r="N213" s="18"/>
      <c r="O213" s="21"/>
      <c r="P213" s="21"/>
      <c r="Q213" s="21"/>
      <c r="R213" s="21"/>
      <c r="S213" s="21"/>
      <c r="T213" s="21"/>
    </row>
    <row r="214" ht="39.55" customHeight="1">
      <c r="A214" t="s" s="15">
        <v>874</v>
      </c>
      <c r="B214" s="16">
        <v>2016</v>
      </c>
      <c r="C214" t="s" s="15">
        <v>875</v>
      </c>
      <c r="D214" t="s" s="17">
        <v>876</v>
      </c>
      <c r="E214" t="s" s="17">
        <v>877</v>
      </c>
      <c r="F214" s="18"/>
      <c r="G214" s="19">
        <v>3</v>
      </c>
      <c r="H214" t="s" s="20">
        <v>46</v>
      </c>
      <c r="I214" t="s" s="17">
        <v>26</v>
      </c>
      <c r="J214" t="s" s="17">
        <v>857</v>
      </c>
      <c r="K214" s="18"/>
      <c r="L214" s="18"/>
      <c r="M214" s="18"/>
      <c r="N214" s="18"/>
      <c r="O214" s="21"/>
      <c r="P214" s="21"/>
      <c r="Q214" s="21"/>
      <c r="R214" s="21"/>
      <c r="S214" s="21"/>
      <c r="T214" s="21"/>
    </row>
    <row r="215" ht="39.55" customHeight="1">
      <c r="A215" t="s" s="15">
        <v>878</v>
      </c>
      <c r="B215" s="16">
        <v>2017</v>
      </c>
      <c r="C215" t="s" s="15">
        <v>879</v>
      </c>
      <c r="D215" t="s" s="17">
        <v>880</v>
      </c>
      <c r="E215" t="s" s="17">
        <v>881</v>
      </c>
      <c r="F215" s="18"/>
      <c r="G215" s="19">
        <v>2</v>
      </c>
      <c r="H215" t="s" s="20">
        <v>25</v>
      </c>
      <c r="I215" t="s" s="17">
        <v>26</v>
      </c>
      <c r="J215" t="s" s="17">
        <v>187</v>
      </c>
      <c r="K215" s="18"/>
      <c r="L215" s="18"/>
      <c r="M215" s="18"/>
      <c r="N215" s="18"/>
      <c r="O215" s="21"/>
      <c r="P215" s="21"/>
      <c r="Q215" s="21"/>
      <c r="R215" s="21"/>
      <c r="S215" s="21"/>
      <c r="T215" s="21"/>
    </row>
    <row r="216" ht="39.55" customHeight="1">
      <c r="A216" t="s" s="15">
        <v>882</v>
      </c>
      <c r="B216" s="16">
        <v>2018</v>
      </c>
      <c r="C216" t="s" s="15">
        <v>879</v>
      </c>
      <c r="D216" t="s" s="17">
        <v>883</v>
      </c>
      <c r="E216" t="s" s="17">
        <v>884</v>
      </c>
      <c r="F216" s="18"/>
      <c r="G216" s="19">
        <v>3</v>
      </c>
      <c r="H216" t="s" s="20">
        <v>46</v>
      </c>
      <c r="I216" t="s" s="17">
        <v>26</v>
      </c>
      <c r="J216" t="s" s="17">
        <v>885</v>
      </c>
      <c r="K216" t="s" s="17">
        <v>886</v>
      </c>
      <c r="L216" s="18"/>
      <c r="M216" s="18"/>
      <c r="N216" s="18"/>
      <c r="O216" s="21"/>
      <c r="P216" s="21"/>
      <c r="Q216" s="21"/>
      <c r="R216" s="21"/>
      <c r="S216" s="21"/>
      <c r="T216" s="21"/>
    </row>
    <row r="217" ht="39.55" customHeight="1">
      <c r="A217" t="s" s="15">
        <v>887</v>
      </c>
      <c r="B217" s="16">
        <v>2013</v>
      </c>
      <c r="C217" t="s" s="15">
        <v>888</v>
      </c>
      <c r="D217" t="s" s="17">
        <v>889</v>
      </c>
      <c r="E217" s="18"/>
      <c r="F217" s="18"/>
      <c r="G217" s="19">
        <v>2</v>
      </c>
      <c r="H217" t="s" s="20">
        <v>25</v>
      </c>
      <c r="I217" t="s" s="17">
        <v>26</v>
      </c>
      <c r="J217" t="s" s="17">
        <v>31</v>
      </c>
      <c r="K217" s="18"/>
      <c r="L217" s="18"/>
      <c r="M217" s="18"/>
      <c r="N217" s="18"/>
      <c r="O217" s="21"/>
      <c r="P217" s="21"/>
      <c r="Q217" s="21"/>
      <c r="R217" s="21"/>
      <c r="S217" s="21"/>
      <c r="T217" s="21"/>
    </row>
    <row r="218" ht="45" customHeight="1">
      <c r="A218" t="s" s="15">
        <v>890</v>
      </c>
      <c r="B218" s="16">
        <v>2013</v>
      </c>
      <c r="C218" t="s" s="15">
        <v>888</v>
      </c>
      <c r="D218" t="s" s="17">
        <v>889</v>
      </c>
      <c r="E218" t="s" s="17">
        <v>891</v>
      </c>
      <c r="F218" s="18"/>
      <c r="G218" s="19">
        <v>2</v>
      </c>
      <c r="H218" t="s" s="20">
        <v>25</v>
      </c>
      <c r="I218" t="s" s="17">
        <v>42</v>
      </c>
      <c r="J218" s="18"/>
      <c r="K218" t="s" s="17">
        <v>892</v>
      </c>
      <c r="L218" t="s" s="17">
        <v>42</v>
      </c>
      <c r="M218" t="s" s="17">
        <v>212</v>
      </c>
      <c r="N218" s="18"/>
      <c r="O218" s="21"/>
      <c r="P218" t="s" s="20">
        <v>46</v>
      </c>
      <c r="Q218" s="21"/>
      <c r="R218" s="21"/>
      <c r="S218" s="21"/>
      <c r="T218" s="21"/>
    </row>
    <row r="219" ht="39.55" customHeight="1">
      <c r="A219" t="s" s="15">
        <v>893</v>
      </c>
      <c r="B219" s="16">
        <v>2006</v>
      </c>
      <c r="C219" t="s" s="15">
        <v>894</v>
      </c>
      <c r="D219" t="s" s="17">
        <v>895</v>
      </c>
      <c r="E219" t="s" s="17">
        <v>896</v>
      </c>
      <c r="F219" s="18"/>
      <c r="G219" s="19">
        <v>2</v>
      </c>
      <c r="H219" t="s" s="20">
        <v>25</v>
      </c>
      <c r="I219" t="s" s="17">
        <v>26</v>
      </c>
      <c r="J219" t="s" s="17">
        <v>848</v>
      </c>
      <c r="K219" s="18"/>
      <c r="L219" s="18"/>
      <c r="M219" s="18"/>
      <c r="N219" s="18"/>
      <c r="O219" s="21"/>
      <c r="P219" s="21"/>
      <c r="Q219" s="21"/>
      <c r="R219" s="21"/>
      <c r="S219" s="21"/>
      <c r="T219" s="21"/>
    </row>
    <row r="220" ht="30" customHeight="1">
      <c r="A220" t="s" s="15">
        <v>897</v>
      </c>
      <c r="B220" s="16">
        <v>2017</v>
      </c>
      <c r="C220" t="s" s="15">
        <v>898</v>
      </c>
      <c r="D220" t="s" s="17">
        <v>899</v>
      </c>
      <c r="E220" t="s" s="17">
        <v>900</v>
      </c>
      <c r="F220" s="18"/>
      <c r="G220" s="19">
        <v>2</v>
      </c>
      <c r="H220" t="s" s="20">
        <v>25</v>
      </c>
      <c r="I220" t="s" s="17">
        <v>26</v>
      </c>
      <c r="J220" t="s" s="17">
        <v>187</v>
      </c>
      <c r="K220" s="18"/>
      <c r="L220" s="18"/>
      <c r="M220" s="18"/>
      <c r="N220" s="18"/>
      <c r="O220" s="21"/>
      <c r="P220" s="21"/>
      <c r="Q220" s="21"/>
      <c r="R220" s="21"/>
      <c r="S220" s="21"/>
      <c r="T220" s="21"/>
    </row>
    <row r="221" ht="30" customHeight="1">
      <c r="A221" t="s" s="15">
        <v>901</v>
      </c>
      <c r="B221" s="16">
        <v>2020</v>
      </c>
      <c r="C221" t="s" s="15">
        <v>902</v>
      </c>
      <c r="D221" t="s" s="17">
        <v>903</v>
      </c>
      <c r="E221" t="s" s="17">
        <v>904</v>
      </c>
      <c r="F221" s="18"/>
      <c r="G221" s="19">
        <v>3</v>
      </c>
      <c r="H221" t="s" s="20">
        <v>46</v>
      </c>
      <c r="I221" t="s" s="17">
        <v>26</v>
      </c>
      <c r="J221" t="s" s="17">
        <v>386</v>
      </c>
      <c r="K221" s="18"/>
      <c r="L221" s="18"/>
      <c r="M221" s="18"/>
      <c r="N221" s="18"/>
      <c r="O221" s="21"/>
      <c r="P221" s="21"/>
      <c r="Q221" s="21"/>
      <c r="R221" s="21"/>
      <c r="S221" s="21"/>
      <c r="T221" s="21"/>
    </row>
    <row r="222" ht="30" customHeight="1">
      <c r="A222" t="s" s="15">
        <v>905</v>
      </c>
      <c r="B222" s="16">
        <v>2018</v>
      </c>
      <c r="C222" t="s" s="15">
        <v>906</v>
      </c>
      <c r="D222" t="s" s="17">
        <v>907</v>
      </c>
      <c r="E222" t="s" s="17">
        <v>908</v>
      </c>
      <c r="F222" s="18"/>
      <c r="G222" s="19">
        <v>2</v>
      </c>
      <c r="H222" t="s" s="20">
        <v>25</v>
      </c>
      <c r="I222" t="s" s="17">
        <v>42</v>
      </c>
      <c r="J222" s="18"/>
      <c r="K222" t="s" s="17">
        <v>43</v>
      </c>
      <c r="L222" t="s" s="17">
        <v>42</v>
      </c>
      <c r="M222" t="s" s="17">
        <v>44</v>
      </c>
      <c r="N222" s="18"/>
      <c r="O222" s="21"/>
      <c r="P222" t="s" s="20">
        <v>46</v>
      </c>
      <c r="Q222" t="s" s="20">
        <v>277</v>
      </c>
      <c r="R222" s="21"/>
      <c r="S222" t="s" s="20">
        <v>277</v>
      </c>
      <c r="T222" s="21"/>
    </row>
    <row r="223" ht="26.55" customHeight="1">
      <c r="A223" t="s" s="15">
        <v>909</v>
      </c>
      <c r="B223" s="16">
        <v>2022</v>
      </c>
      <c r="C223" t="s" s="15">
        <v>910</v>
      </c>
      <c r="D223" t="s" s="17">
        <v>911</v>
      </c>
      <c r="E223" t="s" s="17">
        <v>912</v>
      </c>
      <c r="F223" s="18"/>
      <c r="G223" s="19">
        <v>2</v>
      </c>
      <c r="H223" t="s" s="20">
        <v>25</v>
      </c>
      <c r="I223" t="s" s="17">
        <v>26</v>
      </c>
      <c r="J223" t="s" s="17">
        <v>85</v>
      </c>
      <c r="K223" s="18"/>
      <c r="L223" s="18"/>
      <c r="M223" s="18"/>
      <c r="N223" s="18"/>
      <c r="O223" s="21"/>
      <c r="P223" s="21"/>
      <c r="Q223" s="21"/>
      <c r="R223" s="21"/>
      <c r="S223" s="21"/>
      <c r="T223" s="21"/>
    </row>
    <row r="224" ht="30" customHeight="1">
      <c r="A224" t="s" s="15">
        <v>913</v>
      </c>
      <c r="B224" s="16">
        <v>2016</v>
      </c>
      <c r="C224" t="s" s="15">
        <v>914</v>
      </c>
      <c r="D224" t="s" s="17">
        <v>915</v>
      </c>
      <c r="E224" t="s" s="17">
        <v>916</v>
      </c>
      <c r="F224" s="18"/>
      <c r="G224" s="19">
        <v>2</v>
      </c>
      <c r="H224" t="s" s="20">
        <v>25</v>
      </c>
      <c r="I224" t="s" s="17">
        <v>26</v>
      </c>
      <c r="J224" t="s" s="17">
        <v>93</v>
      </c>
      <c r="K224" s="18"/>
      <c r="L224" s="18"/>
      <c r="M224" s="18"/>
      <c r="N224" s="18"/>
      <c r="O224" s="21"/>
      <c r="P224" s="21"/>
      <c r="Q224" s="21"/>
      <c r="R224" s="21"/>
      <c r="S224" s="21"/>
      <c r="T224" s="21"/>
    </row>
    <row r="225" ht="30" customHeight="1">
      <c r="A225" t="s" s="15">
        <v>917</v>
      </c>
      <c r="B225" s="16">
        <v>2009</v>
      </c>
      <c r="C225" t="s" s="15">
        <v>918</v>
      </c>
      <c r="D225" t="s" s="17">
        <v>919</v>
      </c>
      <c r="E225" t="s" s="17">
        <v>920</v>
      </c>
      <c r="F225" s="18"/>
      <c r="G225" s="19">
        <v>3</v>
      </c>
      <c r="H225" t="s" s="20">
        <v>46</v>
      </c>
      <c r="I225" t="s" s="17">
        <v>42</v>
      </c>
      <c r="J225" t="s" s="17">
        <v>31</v>
      </c>
      <c r="K225" t="s" s="17">
        <v>80</v>
      </c>
      <c r="L225" s="18"/>
      <c r="M225" s="18"/>
      <c r="N225" s="18"/>
      <c r="O225" s="21"/>
      <c r="P225" s="21"/>
      <c r="Q225" s="21"/>
      <c r="R225" s="21"/>
      <c r="S225" s="21"/>
      <c r="T225" s="21"/>
    </row>
    <row r="226" ht="30" customHeight="1">
      <c r="A226" t="s" s="15">
        <v>921</v>
      </c>
      <c r="B226" s="16">
        <v>2019</v>
      </c>
      <c r="C226" t="s" s="15">
        <v>922</v>
      </c>
      <c r="D226" t="s" s="17">
        <v>923</v>
      </c>
      <c r="E226" t="s" s="17">
        <v>924</v>
      </c>
      <c r="F226" s="18"/>
      <c r="G226" s="19">
        <v>3</v>
      </c>
      <c r="H226" t="s" s="20">
        <v>46</v>
      </c>
      <c r="I226" t="s" s="17">
        <v>26</v>
      </c>
      <c r="J226" t="s" s="17">
        <v>31</v>
      </c>
      <c r="K226" t="s" s="17">
        <v>792</v>
      </c>
      <c r="L226" s="18"/>
      <c r="M226" s="18"/>
      <c r="N226" s="18"/>
      <c r="O226" s="21"/>
      <c r="P226" s="21"/>
      <c r="Q226" s="21"/>
      <c r="R226" s="21"/>
      <c r="S226" s="21"/>
      <c r="T226" s="21"/>
    </row>
    <row r="227" ht="45" customHeight="1">
      <c r="A227" t="s" s="15">
        <v>925</v>
      </c>
      <c r="B227" s="16">
        <v>2020</v>
      </c>
      <c r="C227" t="s" s="15">
        <v>926</v>
      </c>
      <c r="D227" t="s" s="17">
        <v>927</v>
      </c>
      <c r="E227" t="s" s="17">
        <v>928</v>
      </c>
      <c r="F227" s="18"/>
      <c r="G227" s="19">
        <v>3</v>
      </c>
      <c r="H227" t="s" s="20">
        <v>25</v>
      </c>
      <c r="I227" t="s" s="17">
        <v>26</v>
      </c>
      <c r="J227" t="s" s="17">
        <v>61</v>
      </c>
      <c r="K227" s="18"/>
      <c r="L227" s="18"/>
      <c r="M227" s="18"/>
      <c r="N227" s="18"/>
      <c r="O227" s="21"/>
      <c r="P227" s="21"/>
      <c r="Q227" s="21"/>
      <c r="R227" s="21"/>
      <c r="S227" s="21"/>
      <c r="T227" s="21"/>
    </row>
    <row r="228" ht="30" customHeight="1">
      <c r="A228" t="s" s="15">
        <v>929</v>
      </c>
      <c r="B228" s="16">
        <v>2013</v>
      </c>
      <c r="C228" t="s" s="15">
        <v>930</v>
      </c>
      <c r="D228" t="s" s="17">
        <v>931</v>
      </c>
      <c r="E228" t="s" s="17">
        <v>932</v>
      </c>
      <c r="F228" s="18"/>
      <c r="G228" s="19">
        <v>2</v>
      </c>
      <c r="H228" t="s" s="20">
        <v>25</v>
      </c>
      <c r="I228" t="s" s="17">
        <v>26</v>
      </c>
      <c r="J228" t="s" s="17">
        <v>79</v>
      </c>
      <c r="K228" t="s" s="17">
        <v>792</v>
      </c>
      <c r="L228" s="18"/>
      <c r="M228" s="18"/>
      <c r="N228" s="18"/>
      <c r="O228" s="21"/>
      <c r="P228" s="21"/>
      <c r="Q228" s="21"/>
      <c r="R228" s="21"/>
      <c r="S228" s="21"/>
      <c r="T228" s="21"/>
    </row>
    <row r="229" ht="39.55" customHeight="1">
      <c r="A229" t="s" s="15">
        <v>933</v>
      </c>
      <c r="B229" s="16">
        <v>2015</v>
      </c>
      <c r="C229" t="s" s="15">
        <v>934</v>
      </c>
      <c r="D229" t="s" s="17">
        <v>935</v>
      </c>
      <c r="E229" t="s" s="17">
        <v>936</v>
      </c>
      <c r="F229" s="18"/>
      <c r="G229" s="19">
        <v>3</v>
      </c>
      <c r="H229" t="s" s="20">
        <v>46</v>
      </c>
      <c r="I229" t="s" s="17">
        <v>42</v>
      </c>
      <c r="J229" s="18"/>
      <c r="K229" t="s" s="17">
        <v>43</v>
      </c>
      <c r="L229" t="s" s="17">
        <v>42</v>
      </c>
      <c r="M229" t="s" s="17">
        <v>505</v>
      </c>
      <c r="N229" s="18"/>
      <c r="O229" s="21"/>
      <c r="P229" t="s" s="20">
        <v>25</v>
      </c>
      <c r="Q229" s="21"/>
      <c r="R229" s="21"/>
      <c r="S229" s="21"/>
      <c r="T229" s="21"/>
    </row>
    <row r="230" ht="30" customHeight="1">
      <c r="A230" t="s" s="15">
        <v>937</v>
      </c>
      <c r="B230" s="16">
        <v>2020</v>
      </c>
      <c r="C230" t="s" s="15">
        <v>938</v>
      </c>
      <c r="D230" t="s" s="17">
        <v>939</v>
      </c>
      <c r="E230" t="s" s="17">
        <v>940</v>
      </c>
      <c r="F230" s="18"/>
      <c r="G230" s="19">
        <v>3</v>
      </c>
      <c r="H230" t="s" s="20">
        <v>46</v>
      </c>
      <c r="I230" t="s" s="17">
        <v>26</v>
      </c>
      <c r="J230" t="s" s="17">
        <v>93</v>
      </c>
      <c r="K230" t="s" s="17">
        <v>80</v>
      </c>
      <c r="L230" s="18"/>
      <c r="M230" s="18"/>
      <c r="N230" s="18"/>
      <c r="O230" s="21"/>
      <c r="P230" s="21"/>
      <c r="Q230" s="21"/>
      <c r="R230" s="21"/>
      <c r="S230" s="21"/>
      <c r="T230" s="21"/>
    </row>
    <row r="231" ht="39.55" customHeight="1">
      <c r="A231" t="s" s="15">
        <v>941</v>
      </c>
      <c r="B231" s="16">
        <v>2007</v>
      </c>
      <c r="C231" t="s" s="15">
        <v>942</v>
      </c>
      <c r="D231" t="s" s="17">
        <v>943</v>
      </c>
      <c r="E231" t="s" s="17">
        <v>944</v>
      </c>
      <c r="F231" s="18"/>
      <c r="G231" s="19">
        <v>2</v>
      </c>
      <c r="H231" t="s" s="20">
        <v>25</v>
      </c>
      <c r="I231" t="s" s="17">
        <v>26</v>
      </c>
      <c r="J231" t="s" s="17">
        <v>27</v>
      </c>
      <c r="K231" s="18"/>
      <c r="L231" s="18"/>
      <c r="M231" s="18"/>
      <c r="N231" s="18"/>
      <c r="O231" s="21"/>
      <c r="P231" s="21"/>
      <c r="Q231" s="21"/>
      <c r="R231" s="21"/>
      <c r="S231" s="21"/>
      <c r="T231" s="21"/>
    </row>
    <row r="232" ht="26.55" customHeight="1">
      <c r="A232" t="s" s="15">
        <v>945</v>
      </c>
      <c r="B232" s="16">
        <v>2010</v>
      </c>
      <c r="C232" t="s" s="15">
        <v>946</v>
      </c>
      <c r="D232" t="s" s="17">
        <v>947</v>
      </c>
      <c r="E232" t="s" s="17">
        <v>948</v>
      </c>
      <c r="F232" s="18"/>
      <c r="G232" s="19">
        <v>2</v>
      </c>
      <c r="H232" t="s" s="20">
        <v>25</v>
      </c>
      <c r="I232" t="s" s="17">
        <v>26</v>
      </c>
      <c r="J232" t="s" s="17">
        <v>848</v>
      </c>
      <c r="K232" t="s" s="17">
        <v>792</v>
      </c>
      <c r="L232" s="18"/>
      <c r="M232" s="18"/>
      <c r="N232" s="18"/>
      <c r="O232" s="21"/>
      <c r="P232" s="21"/>
      <c r="Q232" s="21"/>
      <c r="R232" s="21"/>
      <c r="S232" s="21"/>
      <c r="T232" s="21"/>
    </row>
    <row r="233" ht="39.55" customHeight="1">
      <c r="A233" t="s" s="15">
        <v>949</v>
      </c>
      <c r="B233" s="16">
        <v>2011</v>
      </c>
      <c r="C233" t="s" s="15">
        <v>950</v>
      </c>
      <c r="D233" t="s" s="17">
        <v>951</v>
      </c>
      <c r="E233" s="18"/>
      <c r="F233" s="18"/>
      <c r="G233" s="19">
        <v>3</v>
      </c>
      <c r="H233" t="s" s="20">
        <v>46</v>
      </c>
      <c r="I233" t="s" s="17">
        <v>26</v>
      </c>
      <c r="J233" t="s" s="17">
        <v>85</v>
      </c>
      <c r="K233" t="s" s="17">
        <v>586</v>
      </c>
      <c r="L233" s="18"/>
      <c r="M233" s="18"/>
      <c r="N233" s="18"/>
      <c r="O233" s="21"/>
      <c r="P233" s="21"/>
      <c r="Q233" s="21"/>
      <c r="R233" s="21"/>
      <c r="S233" s="21"/>
      <c r="T233" s="21"/>
    </row>
    <row r="234" ht="30" customHeight="1">
      <c r="A234" t="s" s="15">
        <v>952</v>
      </c>
      <c r="B234" s="16">
        <v>2007</v>
      </c>
      <c r="C234" t="s" s="15">
        <v>953</v>
      </c>
      <c r="D234" t="s" s="17">
        <v>954</v>
      </c>
      <c r="E234" t="s" s="17">
        <v>955</v>
      </c>
      <c r="F234" s="18"/>
      <c r="G234" s="19">
        <v>3</v>
      </c>
      <c r="H234" t="s" s="20">
        <v>25</v>
      </c>
      <c r="I234" t="s" s="17">
        <v>26</v>
      </c>
      <c r="J234" t="s" s="17">
        <v>178</v>
      </c>
      <c r="K234" s="18"/>
      <c r="L234" s="18"/>
      <c r="M234" s="18"/>
      <c r="N234" s="18"/>
      <c r="O234" s="21"/>
      <c r="P234" s="21"/>
      <c r="Q234" s="21"/>
      <c r="R234" s="21"/>
      <c r="S234" s="21"/>
      <c r="T234" s="21"/>
    </row>
    <row r="235" ht="30" customHeight="1">
      <c r="A235" t="s" s="15">
        <v>956</v>
      </c>
      <c r="B235" s="16">
        <v>2010</v>
      </c>
      <c r="C235" t="s" s="15">
        <v>953</v>
      </c>
      <c r="D235" t="s" s="17">
        <v>957</v>
      </c>
      <c r="E235" t="s" s="17">
        <v>958</v>
      </c>
      <c r="F235" s="18"/>
      <c r="G235" s="19">
        <v>3</v>
      </c>
      <c r="H235" t="s" s="20">
        <v>25</v>
      </c>
      <c r="I235" t="s" s="17">
        <v>26</v>
      </c>
      <c r="J235" t="s" s="17">
        <v>27</v>
      </c>
      <c r="K235" s="18"/>
      <c r="L235" s="18"/>
      <c r="M235" s="18"/>
      <c r="N235" s="18"/>
      <c r="O235" s="21"/>
      <c r="P235" s="21"/>
      <c r="Q235" s="21"/>
      <c r="R235" s="21"/>
      <c r="S235" s="21"/>
      <c r="T235" s="21"/>
    </row>
    <row r="236" ht="30" customHeight="1">
      <c r="A236" t="s" s="15">
        <v>959</v>
      </c>
      <c r="B236" s="16">
        <v>2010</v>
      </c>
      <c r="C236" t="s" s="15">
        <v>953</v>
      </c>
      <c r="D236" t="s" s="17">
        <v>957</v>
      </c>
      <c r="E236" t="s" s="17">
        <v>960</v>
      </c>
      <c r="F236" s="18"/>
      <c r="G236" s="19">
        <v>3</v>
      </c>
      <c r="H236" t="s" s="20">
        <v>25</v>
      </c>
      <c r="I236" t="s" s="17">
        <v>26</v>
      </c>
      <c r="J236" t="s" s="17">
        <v>178</v>
      </c>
      <c r="K236" s="18"/>
      <c r="L236" s="18"/>
      <c r="M236" s="18"/>
      <c r="N236" s="18"/>
      <c r="O236" s="21"/>
      <c r="P236" s="21"/>
      <c r="Q236" s="21"/>
      <c r="R236" s="21"/>
      <c r="S236" s="21"/>
      <c r="T236" s="21"/>
    </row>
    <row r="237" ht="30" customHeight="1">
      <c r="A237" t="s" s="15">
        <v>961</v>
      </c>
      <c r="B237" s="16">
        <v>2011</v>
      </c>
      <c r="C237" t="s" s="15">
        <v>953</v>
      </c>
      <c r="D237" t="s" s="17">
        <v>962</v>
      </c>
      <c r="E237" t="s" s="17">
        <v>963</v>
      </c>
      <c r="F237" s="18"/>
      <c r="G237" s="19">
        <v>2</v>
      </c>
      <c r="H237" t="s" s="20">
        <v>25</v>
      </c>
      <c r="I237" t="s" s="17">
        <v>26</v>
      </c>
      <c r="J237" t="s" s="17">
        <v>964</v>
      </c>
      <c r="K237" s="18"/>
      <c r="L237" s="18"/>
      <c r="M237" s="18"/>
      <c r="N237" s="18"/>
      <c r="O237" s="21"/>
      <c r="P237" s="21"/>
      <c r="Q237" s="21"/>
      <c r="R237" s="21"/>
      <c r="S237" s="21"/>
      <c r="T237" s="21"/>
    </row>
    <row r="238" ht="30" customHeight="1">
      <c r="A238" t="s" s="15">
        <v>965</v>
      </c>
      <c r="B238" s="16">
        <v>2012</v>
      </c>
      <c r="C238" t="s" s="15">
        <v>953</v>
      </c>
      <c r="D238" t="s" s="17">
        <v>966</v>
      </c>
      <c r="E238" t="s" s="17">
        <v>967</v>
      </c>
      <c r="F238" s="18"/>
      <c r="G238" s="19">
        <v>4</v>
      </c>
      <c r="H238" t="s" s="20">
        <v>46</v>
      </c>
      <c r="I238" t="s" s="17">
        <v>26</v>
      </c>
      <c r="J238" t="s" s="17">
        <v>178</v>
      </c>
      <c r="K238" s="18"/>
      <c r="L238" s="18"/>
      <c r="M238" s="18"/>
      <c r="N238" s="18"/>
      <c r="O238" s="21"/>
      <c r="P238" s="21"/>
      <c r="Q238" s="21"/>
      <c r="R238" s="21"/>
      <c r="S238" s="21"/>
      <c r="T238" s="21"/>
    </row>
    <row r="239" ht="30" customHeight="1">
      <c r="A239" t="s" s="15">
        <v>968</v>
      </c>
      <c r="B239" s="16">
        <v>2012</v>
      </c>
      <c r="C239" t="s" s="15">
        <v>953</v>
      </c>
      <c r="D239" t="s" s="17">
        <v>966</v>
      </c>
      <c r="E239" t="s" s="17">
        <v>969</v>
      </c>
      <c r="F239" s="18"/>
      <c r="G239" s="19">
        <v>3</v>
      </c>
      <c r="H239" t="s" s="20">
        <v>25</v>
      </c>
      <c r="I239" t="s" s="17">
        <v>26</v>
      </c>
      <c r="J239" t="s" s="17">
        <v>970</v>
      </c>
      <c r="K239" s="18"/>
      <c r="L239" s="18"/>
      <c r="M239" s="18"/>
      <c r="N239" s="18"/>
      <c r="O239" s="21"/>
      <c r="P239" s="21"/>
      <c r="Q239" s="21"/>
      <c r="R239" s="21"/>
      <c r="S239" s="21"/>
      <c r="T239" s="21"/>
    </row>
    <row r="240" ht="30" customHeight="1">
      <c r="A240" t="s" s="15">
        <v>971</v>
      </c>
      <c r="B240" s="16">
        <v>2013</v>
      </c>
      <c r="C240" t="s" s="15">
        <v>953</v>
      </c>
      <c r="D240" t="s" s="17">
        <v>972</v>
      </c>
      <c r="E240" t="s" s="17">
        <v>973</v>
      </c>
      <c r="F240" s="18"/>
      <c r="G240" s="19">
        <v>2</v>
      </c>
      <c r="H240" t="s" s="20">
        <v>25</v>
      </c>
      <c r="I240" t="s" s="17">
        <v>26</v>
      </c>
      <c r="J240" t="s" s="17">
        <v>178</v>
      </c>
      <c r="K240" s="18"/>
      <c r="L240" s="18"/>
      <c r="M240" s="18"/>
      <c r="N240" s="18"/>
      <c r="O240" s="21"/>
      <c r="P240" s="21"/>
      <c r="Q240" s="21"/>
      <c r="R240" s="21"/>
      <c r="S240" s="21"/>
      <c r="T240" s="21"/>
    </row>
    <row r="241" ht="30" customHeight="1">
      <c r="A241" t="s" s="15">
        <v>974</v>
      </c>
      <c r="B241" s="16">
        <v>2014</v>
      </c>
      <c r="C241" t="s" s="15">
        <v>953</v>
      </c>
      <c r="D241" t="s" s="17">
        <v>975</v>
      </c>
      <c r="E241" t="s" s="17">
        <v>976</v>
      </c>
      <c r="F241" s="18"/>
      <c r="G241" s="19">
        <v>4</v>
      </c>
      <c r="H241" t="s" s="20">
        <v>46</v>
      </c>
      <c r="I241" t="s" s="17">
        <v>26</v>
      </c>
      <c r="J241" t="s" s="17">
        <v>970</v>
      </c>
      <c r="K241" s="18"/>
      <c r="L241" s="18"/>
      <c r="M241" s="18"/>
      <c r="N241" s="18"/>
      <c r="O241" s="21"/>
      <c r="P241" s="21"/>
      <c r="Q241" s="21"/>
      <c r="R241" s="21"/>
      <c r="S241" s="21"/>
      <c r="T241" s="21"/>
    </row>
    <row r="242" ht="30" customHeight="1">
      <c r="A242" t="s" s="15">
        <v>977</v>
      </c>
      <c r="B242" s="16">
        <v>2014</v>
      </c>
      <c r="C242" t="s" s="15">
        <v>953</v>
      </c>
      <c r="D242" t="s" s="17">
        <v>975</v>
      </c>
      <c r="E242" t="s" s="17">
        <v>978</v>
      </c>
      <c r="F242" s="18"/>
      <c r="G242" s="19">
        <v>4</v>
      </c>
      <c r="H242" t="s" s="20">
        <v>46</v>
      </c>
      <c r="I242" t="s" s="17">
        <v>26</v>
      </c>
      <c r="J242" t="s" s="17">
        <v>234</v>
      </c>
      <c r="K242" s="18"/>
      <c r="L242" s="18"/>
      <c r="M242" s="18"/>
      <c r="N242" s="18"/>
      <c r="O242" s="21"/>
      <c r="P242" s="21"/>
      <c r="Q242" s="21"/>
      <c r="R242" s="21"/>
      <c r="S242" s="21"/>
      <c r="T242" s="21"/>
    </row>
    <row r="243" ht="26.55" customHeight="1">
      <c r="A243" t="s" s="15">
        <v>979</v>
      </c>
      <c r="B243" s="16">
        <v>2016</v>
      </c>
      <c r="C243" t="s" s="15">
        <v>953</v>
      </c>
      <c r="D243" t="s" s="17">
        <v>980</v>
      </c>
      <c r="E243" t="s" s="17">
        <v>981</v>
      </c>
      <c r="F243" s="18"/>
      <c r="G243" s="19">
        <v>4</v>
      </c>
      <c r="H243" t="s" s="20">
        <v>46</v>
      </c>
      <c r="I243" t="s" s="17">
        <v>26</v>
      </c>
      <c r="J243" t="s" s="17">
        <v>31</v>
      </c>
      <c r="K243" s="18"/>
      <c r="L243" s="18"/>
      <c r="M243" s="18"/>
      <c r="N243" s="18"/>
      <c r="O243" s="21"/>
      <c r="P243" s="21"/>
      <c r="Q243" s="21"/>
      <c r="R243" s="21"/>
      <c r="S243" s="21"/>
      <c r="T243" s="21"/>
    </row>
    <row r="244" ht="39.55" customHeight="1">
      <c r="A244" t="s" s="15">
        <v>982</v>
      </c>
      <c r="B244" s="16">
        <v>2017</v>
      </c>
      <c r="C244" t="s" s="15">
        <v>953</v>
      </c>
      <c r="D244" t="s" s="17">
        <v>983</v>
      </c>
      <c r="E244" t="s" s="17">
        <v>984</v>
      </c>
      <c r="F244" s="18"/>
      <c r="G244" s="19">
        <v>2</v>
      </c>
      <c r="H244" t="s" s="20">
        <v>25</v>
      </c>
      <c r="I244" t="s" s="17">
        <v>26</v>
      </c>
      <c r="J244" t="s" s="17">
        <v>985</v>
      </c>
      <c r="K244" s="18"/>
      <c r="L244" s="18"/>
      <c r="M244" s="18"/>
      <c r="N244" s="18"/>
      <c r="O244" s="21"/>
      <c r="P244" s="21"/>
      <c r="Q244" s="21"/>
      <c r="R244" s="21"/>
      <c r="S244" s="21"/>
      <c r="T244" s="21"/>
    </row>
    <row r="245" ht="39.55" customHeight="1">
      <c r="A245" t="s" s="15">
        <v>986</v>
      </c>
      <c r="B245" s="16">
        <v>2017</v>
      </c>
      <c r="C245" t="s" s="15">
        <v>953</v>
      </c>
      <c r="D245" t="s" s="17">
        <v>983</v>
      </c>
      <c r="E245" t="s" s="17">
        <v>987</v>
      </c>
      <c r="F245" s="18"/>
      <c r="G245" s="19">
        <v>3</v>
      </c>
      <c r="H245" t="s" s="20">
        <v>25</v>
      </c>
      <c r="I245" t="s" s="17">
        <v>26</v>
      </c>
      <c r="J245" t="s" s="17">
        <v>27</v>
      </c>
      <c r="K245" s="18"/>
      <c r="L245" s="18"/>
      <c r="M245" s="18"/>
      <c r="N245" s="18"/>
      <c r="O245" s="21"/>
      <c r="P245" s="21"/>
      <c r="Q245" s="21"/>
      <c r="R245" s="21"/>
      <c r="S245" s="21"/>
      <c r="T245" s="21"/>
    </row>
    <row r="246" ht="30" customHeight="1">
      <c r="A246" t="s" s="15">
        <v>988</v>
      </c>
      <c r="B246" s="16">
        <v>2019</v>
      </c>
      <c r="C246" t="s" s="15">
        <v>953</v>
      </c>
      <c r="D246" t="s" s="17">
        <v>989</v>
      </c>
      <c r="E246" t="s" s="17">
        <v>990</v>
      </c>
      <c r="F246" s="18"/>
      <c r="G246" s="19">
        <v>4</v>
      </c>
      <c r="H246" t="s" s="20">
        <v>46</v>
      </c>
      <c r="I246" t="s" s="17">
        <v>26</v>
      </c>
      <c r="J246" t="s" s="17">
        <v>31</v>
      </c>
      <c r="K246" t="s" s="17">
        <v>86</v>
      </c>
      <c r="L246" s="18"/>
      <c r="M246" s="18"/>
      <c r="N246" s="18"/>
      <c r="O246" s="21"/>
      <c r="P246" s="21"/>
      <c r="Q246" s="21"/>
      <c r="R246" s="21"/>
      <c r="S246" s="21"/>
      <c r="T246" s="21"/>
    </row>
    <row r="247" ht="30" customHeight="1">
      <c r="A247" t="s" s="15">
        <v>991</v>
      </c>
      <c r="B247" s="16">
        <v>2019</v>
      </c>
      <c r="C247" t="s" s="15">
        <v>953</v>
      </c>
      <c r="D247" t="s" s="17">
        <v>989</v>
      </c>
      <c r="E247" t="s" s="17">
        <v>992</v>
      </c>
      <c r="F247" s="18"/>
      <c r="G247" s="19">
        <v>3</v>
      </c>
      <c r="H247" t="s" s="20">
        <v>25</v>
      </c>
      <c r="I247" t="s" s="17">
        <v>26</v>
      </c>
      <c r="J247" t="s" s="17">
        <v>848</v>
      </c>
      <c r="K247" s="18"/>
      <c r="L247" s="18"/>
      <c r="M247" s="18"/>
      <c r="N247" s="18"/>
      <c r="O247" s="21"/>
      <c r="P247" s="21"/>
      <c r="Q247" s="21"/>
      <c r="R247" s="21"/>
      <c r="S247" s="21"/>
      <c r="T247" s="21"/>
    </row>
    <row r="248" ht="30" customHeight="1">
      <c r="A248" t="s" s="15">
        <v>993</v>
      </c>
      <c r="B248" s="16">
        <v>2020</v>
      </c>
      <c r="C248" t="s" s="15">
        <v>953</v>
      </c>
      <c r="D248" t="s" s="17">
        <v>994</v>
      </c>
      <c r="E248" t="s" s="17">
        <v>995</v>
      </c>
      <c r="F248" s="18"/>
      <c r="G248" s="19">
        <v>3</v>
      </c>
      <c r="H248" t="s" s="20">
        <v>25</v>
      </c>
      <c r="I248" t="s" s="17">
        <v>26</v>
      </c>
      <c r="J248" t="s" s="17">
        <v>848</v>
      </c>
      <c r="K248" s="18"/>
      <c r="L248" s="18"/>
      <c r="M248" s="18"/>
      <c r="N248" s="18"/>
      <c r="O248" s="21"/>
      <c r="P248" s="21"/>
      <c r="Q248" s="21"/>
      <c r="R248" s="21"/>
      <c r="S248" s="21"/>
      <c r="T248" s="21"/>
    </row>
    <row r="249" ht="30" customHeight="1">
      <c r="A249" t="s" s="15">
        <v>996</v>
      </c>
      <c r="B249" s="16">
        <v>2021</v>
      </c>
      <c r="C249" t="s" s="15">
        <v>953</v>
      </c>
      <c r="D249" t="s" s="17">
        <v>997</v>
      </c>
      <c r="E249" t="s" s="17">
        <v>998</v>
      </c>
      <c r="F249" s="18"/>
      <c r="G249" s="19">
        <v>4</v>
      </c>
      <c r="H249" t="s" s="20">
        <v>46</v>
      </c>
      <c r="I249" t="s" s="17">
        <v>26</v>
      </c>
      <c r="J249" t="s" s="17">
        <v>85</v>
      </c>
      <c r="K249" t="s" s="17">
        <v>32</v>
      </c>
      <c r="L249" s="18"/>
      <c r="M249" s="18"/>
      <c r="N249" s="18"/>
      <c r="O249" s="21"/>
      <c r="P249" s="21"/>
      <c r="Q249" s="21"/>
      <c r="R249" s="21"/>
      <c r="S249" s="21"/>
      <c r="T249" s="21"/>
    </row>
    <row r="250" ht="45" customHeight="1">
      <c r="A250" t="s" s="15">
        <v>999</v>
      </c>
      <c r="B250" s="16">
        <v>2021</v>
      </c>
      <c r="C250" t="s" s="15">
        <v>953</v>
      </c>
      <c r="D250" t="s" s="17">
        <v>997</v>
      </c>
      <c r="E250" t="s" s="17">
        <v>1000</v>
      </c>
      <c r="F250" s="18"/>
      <c r="G250" s="19">
        <v>3</v>
      </c>
      <c r="H250" t="s" s="20">
        <v>46</v>
      </c>
      <c r="I250" t="s" s="17">
        <v>26</v>
      </c>
      <c r="J250" t="s" s="17">
        <v>27</v>
      </c>
      <c r="K250" s="18"/>
      <c r="L250" s="18"/>
      <c r="M250" s="18"/>
      <c r="N250" s="18"/>
      <c r="O250" s="21"/>
      <c r="P250" s="21"/>
      <c r="Q250" s="21"/>
      <c r="R250" s="21"/>
      <c r="S250" s="21"/>
      <c r="T250" s="21"/>
    </row>
    <row r="251" ht="26.55" customHeight="1">
      <c r="A251" t="s" s="15">
        <v>1001</v>
      </c>
      <c r="B251" s="16">
        <v>2021</v>
      </c>
      <c r="C251" t="s" s="15">
        <v>1002</v>
      </c>
      <c r="D251" t="s" s="17">
        <v>1003</v>
      </c>
      <c r="E251" t="s" s="17">
        <v>1004</v>
      </c>
      <c r="F251" s="18"/>
      <c r="G251" s="19">
        <v>3</v>
      </c>
      <c r="H251" t="s" s="20">
        <v>25</v>
      </c>
      <c r="I251" t="s" s="17">
        <v>26</v>
      </c>
      <c r="J251" t="s" s="17">
        <v>27</v>
      </c>
      <c r="K251" s="18"/>
      <c r="L251" s="18"/>
      <c r="M251" s="18"/>
      <c r="N251" s="18"/>
      <c r="O251" s="21"/>
      <c r="P251" s="21"/>
      <c r="Q251" s="21"/>
      <c r="R251" s="21"/>
      <c r="S251" s="21"/>
      <c r="T251" s="21"/>
    </row>
    <row r="252" ht="30" customHeight="1">
      <c r="A252" t="s" s="15">
        <v>1005</v>
      </c>
      <c r="B252" s="16">
        <v>2020</v>
      </c>
      <c r="C252" t="s" s="15">
        <v>1006</v>
      </c>
      <c r="D252" t="s" s="17">
        <v>1007</v>
      </c>
      <c r="E252" t="s" s="17">
        <v>1008</v>
      </c>
      <c r="F252" s="18"/>
      <c r="G252" s="19">
        <v>3</v>
      </c>
      <c r="H252" t="s" s="20">
        <v>25</v>
      </c>
      <c r="I252" t="s" s="17">
        <v>26</v>
      </c>
      <c r="J252" t="s" s="17">
        <v>178</v>
      </c>
      <c r="K252" s="18"/>
      <c r="L252" s="18"/>
      <c r="M252" s="18"/>
      <c r="N252" s="18"/>
      <c r="O252" s="21"/>
      <c r="P252" s="21"/>
      <c r="Q252" s="21"/>
      <c r="R252" s="21"/>
      <c r="S252" s="21"/>
      <c r="T252" s="21"/>
    </row>
    <row r="253" ht="39.55" customHeight="1">
      <c r="A253" t="s" s="15">
        <v>1009</v>
      </c>
      <c r="B253" s="16">
        <v>2008</v>
      </c>
      <c r="C253" t="s" s="15">
        <v>1010</v>
      </c>
      <c r="D253" t="s" s="17">
        <v>1011</v>
      </c>
      <c r="E253" t="s" s="17">
        <v>1012</v>
      </c>
      <c r="F253" s="18"/>
      <c r="G253" s="19">
        <v>3</v>
      </c>
      <c r="H253" t="s" s="20">
        <v>25</v>
      </c>
      <c r="I253" t="s" s="17">
        <v>26</v>
      </c>
      <c r="J253" t="s" s="17">
        <v>178</v>
      </c>
      <c r="K253" s="18"/>
      <c r="L253" s="18"/>
      <c r="M253" s="18"/>
      <c r="N253" s="18"/>
      <c r="O253" s="21"/>
      <c r="P253" s="21"/>
      <c r="Q253" s="21"/>
      <c r="R253" s="21"/>
      <c r="S253" s="21"/>
      <c r="T253" s="21"/>
    </row>
    <row r="254" ht="30" customHeight="1">
      <c r="A254" t="s" s="15">
        <v>1013</v>
      </c>
      <c r="B254" s="16">
        <v>2018</v>
      </c>
      <c r="C254" t="s" s="15">
        <v>1014</v>
      </c>
      <c r="D254" t="s" s="17">
        <v>1015</v>
      </c>
      <c r="E254" t="s" s="17">
        <v>1016</v>
      </c>
      <c r="F254" s="18"/>
      <c r="G254" s="19">
        <v>2</v>
      </c>
      <c r="H254" t="s" s="20">
        <v>25</v>
      </c>
      <c r="I254" t="s" s="17">
        <v>26</v>
      </c>
      <c r="J254" t="s" s="17">
        <v>93</v>
      </c>
      <c r="K254" s="18"/>
      <c r="L254" s="18"/>
      <c r="M254" s="18"/>
      <c r="N254" s="18"/>
      <c r="O254" s="21"/>
      <c r="P254" s="21"/>
      <c r="Q254" s="21"/>
      <c r="R254" s="21"/>
      <c r="S254" s="21"/>
      <c r="T254" s="21"/>
    </row>
    <row r="255" ht="26.55" customHeight="1">
      <c r="A255" t="s" s="15">
        <v>1017</v>
      </c>
      <c r="B255" s="16">
        <v>2009</v>
      </c>
      <c r="C255" t="s" s="15">
        <v>1018</v>
      </c>
      <c r="D255" t="s" s="17">
        <v>1019</v>
      </c>
      <c r="E255" t="s" s="17">
        <v>1020</v>
      </c>
      <c r="F255" s="18"/>
      <c r="G255" s="19">
        <v>2</v>
      </c>
      <c r="H255" t="s" s="20">
        <v>25</v>
      </c>
      <c r="I255" t="s" s="17">
        <v>26</v>
      </c>
      <c r="J255" t="s" s="17">
        <v>27</v>
      </c>
      <c r="K255" s="18"/>
      <c r="L255" s="18"/>
      <c r="M255" s="18"/>
      <c r="N255" s="18"/>
      <c r="O255" s="21"/>
      <c r="P255" s="21"/>
      <c r="Q255" s="21"/>
      <c r="R255" s="21"/>
      <c r="S255" s="21"/>
      <c r="T255" s="21"/>
    </row>
    <row r="256" ht="30" customHeight="1">
      <c r="A256" t="s" s="15">
        <v>1021</v>
      </c>
      <c r="B256" s="16">
        <v>2019</v>
      </c>
      <c r="C256" t="s" s="15">
        <v>1022</v>
      </c>
      <c r="D256" t="s" s="17">
        <v>1023</v>
      </c>
      <c r="E256" t="s" s="17">
        <v>1024</v>
      </c>
      <c r="F256" s="18"/>
      <c r="G256" s="19">
        <v>2</v>
      </c>
      <c r="H256" t="s" s="20">
        <v>25</v>
      </c>
      <c r="I256" t="s" s="17">
        <v>26</v>
      </c>
      <c r="J256" t="s" s="17">
        <v>27</v>
      </c>
      <c r="K256" s="18"/>
      <c r="L256" s="18"/>
      <c r="M256" s="18"/>
      <c r="N256" s="18"/>
      <c r="O256" s="21"/>
      <c r="P256" s="21"/>
      <c r="Q256" s="21"/>
      <c r="R256" s="21"/>
      <c r="S256" s="21"/>
      <c r="T256" s="21"/>
    </row>
    <row r="257" ht="30" customHeight="1">
      <c r="A257" t="s" s="15">
        <v>1025</v>
      </c>
      <c r="B257" s="16">
        <v>2009</v>
      </c>
      <c r="C257" t="s" s="15">
        <v>1026</v>
      </c>
      <c r="D257" t="s" s="17">
        <v>1027</v>
      </c>
      <c r="E257" t="s" s="17">
        <v>1028</v>
      </c>
      <c r="F257" s="18"/>
      <c r="G257" s="19">
        <v>2</v>
      </c>
      <c r="H257" t="s" s="20">
        <v>25</v>
      </c>
      <c r="I257" t="s" s="17">
        <v>26</v>
      </c>
      <c r="J257" t="s" s="17">
        <v>27</v>
      </c>
      <c r="K257" s="18"/>
      <c r="L257" s="18"/>
      <c r="M257" s="18"/>
      <c r="N257" s="18"/>
      <c r="O257" s="21"/>
      <c r="P257" s="21"/>
      <c r="Q257" s="21"/>
      <c r="R257" s="21"/>
      <c r="S257" s="21"/>
      <c r="T257" s="21"/>
    </row>
    <row r="258" ht="30" customHeight="1">
      <c r="A258" t="s" s="15">
        <v>1029</v>
      </c>
      <c r="B258" s="16">
        <v>2012</v>
      </c>
      <c r="C258" t="s" s="15">
        <v>1026</v>
      </c>
      <c r="D258" t="s" s="17">
        <v>1030</v>
      </c>
      <c r="E258" t="s" s="17">
        <v>1031</v>
      </c>
      <c r="F258" s="18"/>
      <c r="G258" s="19">
        <v>2</v>
      </c>
      <c r="H258" t="s" s="20">
        <v>25</v>
      </c>
      <c r="I258" t="s" s="17">
        <v>26</v>
      </c>
      <c r="J258" t="s" s="17">
        <v>178</v>
      </c>
      <c r="K258" s="18"/>
      <c r="L258" s="18"/>
      <c r="M258" s="18"/>
      <c r="N258" s="18"/>
      <c r="O258" s="21"/>
      <c r="P258" s="21"/>
      <c r="Q258" s="21"/>
      <c r="R258" s="21"/>
      <c r="S258" s="21"/>
      <c r="T258" s="21"/>
    </row>
    <row r="259" ht="30" customHeight="1">
      <c r="A259" t="s" s="15">
        <v>1032</v>
      </c>
      <c r="B259" s="16">
        <v>2021</v>
      </c>
      <c r="C259" t="s" s="15">
        <v>1026</v>
      </c>
      <c r="D259" t="s" s="17">
        <v>1033</v>
      </c>
      <c r="E259" t="s" s="17">
        <v>1034</v>
      </c>
      <c r="F259" s="18"/>
      <c r="G259" s="19">
        <v>2</v>
      </c>
      <c r="H259" t="s" s="20">
        <v>25</v>
      </c>
      <c r="I259" t="s" s="17">
        <v>26</v>
      </c>
      <c r="J259" t="s" s="17">
        <v>27</v>
      </c>
      <c r="K259" s="18"/>
      <c r="L259" s="18"/>
      <c r="M259" s="18"/>
      <c r="N259" s="18"/>
      <c r="O259" s="21"/>
      <c r="P259" s="21"/>
      <c r="Q259" s="21"/>
      <c r="R259" s="21"/>
      <c r="S259" s="21"/>
      <c r="T259" s="21"/>
    </row>
    <row r="260" ht="30" customHeight="1">
      <c r="A260" t="s" s="15">
        <v>1035</v>
      </c>
      <c r="B260" s="16">
        <v>2023</v>
      </c>
      <c r="C260" t="s" s="15">
        <v>1026</v>
      </c>
      <c r="D260" t="s" s="17">
        <v>1036</v>
      </c>
      <c r="E260" t="s" s="17">
        <v>1037</v>
      </c>
      <c r="F260" s="18"/>
      <c r="G260" s="19">
        <v>2</v>
      </c>
      <c r="H260" t="s" s="20">
        <v>25</v>
      </c>
      <c r="I260" t="s" s="17">
        <v>26</v>
      </c>
      <c r="J260" t="s" s="17">
        <v>27</v>
      </c>
      <c r="K260" s="18"/>
      <c r="L260" s="18"/>
      <c r="M260" s="18"/>
      <c r="N260" s="18"/>
      <c r="O260" s="21"/>
      <c r="P260" s="21"/>
      <c r="Q260" s="21"/>
      <c r="R260" s="21"/>
      <c r="S260" s="21"/>
      <c r="T260" s="21"/>
    </row>
    <row r="261" ht="30" customHeight="1">
      <c r="A261" t="s" s="15">
        <v>1038</v>
      </c>
      <c r="B261" s="16">
        <v>2012</v>
      </c>
      <c r="C261" t="s" s="15">
        <v>1039</v>
      </c>
      <c r="D261" t="s" s="17">
        <v>1040</v>
      </c>
      <c r="E261" t="s" s="17">
        <v>1041</v>
      </c>
      <c r="F261" s="18"/>
      <c r="G261" s="19">
        <v>2</v>
      </c>
      <c r="H261" t="s" s="20">
        <v>25</v>
      </c>
      <c r="I261" t="s" s="17">
        <v>26</v>
      </c>
      <c r="J261" t="s" s="17">
        <v>1042</v>
      </c>
      <c r="K261" s="18"/>
      <c r="L261" s="18"/>
      <c r="M261" s="18"/>
      <c r="N261" s="18"/>
      <c r="O261" s="21"/>
      <c r="P261" s="21"/>
      <c r="Q261" s="21"/>
      <c r="R261" s="21"/>
      <c r="S261" s="21"/>
      <c r="T261" s="21"/>
    </row>
    <row r="262" ht="39.55" customHeight="1">
      <c r="A262" t="s" s="15">
        <v>1043</v>
      </c>
      <c r="B262" s="16">
        <v>2016</v>
      </c>
      <c r="C262" t="s" s="15">
        <v>1044</v>
      </c>
      <c r="D262" t="s" s="17">
        <v>1045</v>
      </c>
      <c r="E262" s="18"/>
      <c r="F262" s="18"/>
      <c r="G262" s="19">
        <v>2</v>
      </c>
      <c r="H262" t="s" s="20">
        <v>25</v>
      </c>
      <c r="I262" t="s" s="17">
        <v>26</v>
      </c>
      <c r="J262" t="s" s="17">
        <v>27</v>
      </c>
      <c r="K262" s="18"/>
      <c r="L262" s="18"/>
      <c r="M262" s="18"/>
      <c r="N262" s="18"/>
      <c r="O262" s="21"/>
      <c r="P262" s="21"/>
      <c r="Q262" s="21"/>
      <c r="R262" s="21"/>
      <c r="S262" s="21"/>
      <c r="T262" s="21"/>
    </row>
    <row r="263" ht="30" customHeight="1">
      <c r="A263" t="s" s="15">
        <v>1046</v>
      </c>
      <c r="B263" s="16">
        <v>2013</v>
      </c>
      <c r="C263" t="s" s="15">
        <v>1047</v>
      </c>
      <c r="D263" t="s" s="17">
        <v>1048</v>
      </c>
      <c r="E263" t="s" s="17">
        <v>1049</v>
      </c>
      <c r="F263" s="18"/>
      <c r="G263" s="19">
        <v>2</v>
      </c>
      <c r="H263" t="s" s="20">
        <v>25</v>
      </c>
      <c r="I263" t="s" s="17">
        <v>26</v>
      </c>
      <c r="J263" t="s" s="17">
        <v>1050</v>
      </c>
      <c r="K263" s="18"/>
      <c r="L263" s="18"/>
      <c r="M263" s="18"/>
      <c r="N263" s="18"/>
      <c r="O263" s="21"/>
      <c r="P263" s="21"/>
      <c r="Q263" s="21"/>
      <c r="R263" s="21"/>
      <c r="S263" s="21"/>
      <c r="T263" s="21"/>
    </row>
    <row r="264" ht="26.55" customHeight="1">
      <c r="A264" t="s" s="15">
        <v>1051</v>
      </c>
      <c r="B264" s="16">
        <v>2015</v>
      </c>
      <c r="C264" t="s" s="15">
        <v>1052</v>
      </c>
      <c r="D264" t="s" s="17">
        <v>1053</v>
      </c>
      <c r="E264" t="s" s="17">
        <v>1054</v>
      </c>
      <c r="F264" s="18"/>
      <c r="G264" s="19">
        <v>3</v>
      </c>
      <c r="H264" t="s" s="20">
        <v>46</v>
      </c>
      <c r="I264" t="s" s="17">
        <v>26</v>
      </c>
      <c r="J264" t="s" s="17">
        <v>662</v>
      </c>
      <c r="K264" t="s" s="17">
        <v>1055</v>
      </c>
      <c r="L264" s="18"/>
      <c r="M264" s="18"/>
      <c r="N264" s="18"/>
      <c r="O264" s="21"/>
      <c r="P264" s="21"/>
      <c r="Q264" s="21"/>
      <c r="R264" s="21"/>
      <c r="S264" s="21"/>
      <c r="T264" s="21"/>
    </row>
    <row r="265" ht="39.55" customHeight="1">
      <c r="A265" t="s" s="15">
        <v>1056</v>
      </c>
      <c r="B265" s="16">
        <v>2023</v>
      </c>
      <c r="C265" t="s" s="15">
        <v>1057</v>
      </c>
      <c r="D265" t="s" s="17">
        <v>1058</v>
      </c>
      <c r="E265" t="s" s="17">
        <v>1059</v>
      </c>
      <c r="F265" s="18"/>
      <c r="G265" s="19">
        <v>3</v>
      </c>
      <c r="H265" t="s" s="20">
        <v>25</v>
      </c>
      <c r="I265" t="s" s="17">
        <v>26</v>
      </c>
      <c r="J265" t="s" s="17">
        <v>31</v>
      </c>
      <c r="K265" t="s" s="17">
        <v>86</v>
      </c>
      <c r="L265" s="18"/>
      <c r="M265" s="18"/>
      <c r="N265" s="18"/>
      <c r="O265" s="21"/>
      <c r="P265" s="21"/>
      <c r="Q265" s="21"/>
      <c r="R265" s="21"/>
      <c r="S265" s="21"/>
      <c r="T265" s="21"/>
    </row>
    <row r="266" ht="30" customHeight="1">
      <c r="A266" t="s" s="15">
        <v>1060</v>
      </c>
      <c r="B266" s="16">
        <v>2016</v>
      </c>
      <c r="C266" t="s" s="15">
        <v>1061</v>
      </c>
      <c r="D266" t="s" s="17">
        <v>1062</v>
      </c>
      <c r="E266" t="s" s="17">
        <v>1063</v>
      </c>
      <c r="F266" s="18"/>
      <c r="G266" s="19">
        <v>3</v>
      </c>
      <c r="H266" t="s" s="20">
        <v>46</v>
      </c>
      <c r="I266" t="s" s="17">
        <v>42</v>
      </c>
      <c r="J266" s="18"/>
      <c r="K266" t="s" s="17">
        <v>43</v>
      </c>
      <c r="L266" t="s" s="17">
        <v>42</v>
      </c>
      <c r="M266" t="s" s="17">
        <v>44</v>
      </c>
      <c r="N266" s="18"/>
      <c r="O266" s="21"/>
      <c r="P266" t="s" s="20">
        <v>46</v>
      </c>
      <c r="Q266" t="s" s="20">
        <v>277</v>
      </c>
      <c r="R266" s="21"/>
      <c r="S266" t="s" s="20">
        <v>277</v>
      </c>
      <c r="T266" s="21"/>
    </row>
    <row r="267" ht="26.55" customHeight="1">
      <c r="A267" t="s" s="15">
        <v>1064</v>
      </c>
      <c r="B267" s="16">
        <v>2016</v>
      </c>
      <c r="C267" t="s" s="15">
        <v>1065</v>
      </c>
      <c r="D267" t="s" s="17">
        <v>1066</v>
      </c>
      <c r="E267" s="18"/>
      <c r="F267" s="18"/>
      <c r="G267" s="19">
        <v>2</v>
      </c>
      <c r="H267" t="s" s="20">
        <v>25</v>
      </c>
      <c r="I267" t="s" s="17">
        <v>26</v>
      </c>
      <c r="J267" t="s" s="17">
        <v>31</v>
      </c>
      <c r="K267" s="18"/>
      <c r="L267" s="18"/>
      <c r="M267" s="18"/>
      <c r="N267" s="18"/>
      <c r="O267" s="21"/>
      <c r="P267" s="21"/>
      <c r="Q267" s="21"/>
      <c r="R267" s="21"/>
      <c r="S267" s="21"/>
      <c r="T267" s="21"/>
    </row>
    <row r="268" ht="30" customHeight="1">
      <c r="A268" t="s" s="15">
        <v>1067</v>
      </c>
      <c r="B268" s="16">
        <v>2016</v>
      </c>
      <c r="C268" t="s" s="15">
        <v>1068</v>
      </c>
      <c r="D268" t="s" s="17">
        <v>1069</v>
      </c>
      <c r="E268" t="s" s="17">
        <v>1070</v>
      </c>
      <c r="F268" s="18"/>
      <c r="G268" s="19">
        <v>2</v>
      </c>
      <c r="H268" t="s" s="20">
        <v>25</v>
      </c>
      <c r="I268" t="s" s="17">
        <v>26</v>
      </c>
      <c r="J268" t="s" s="17">
        <v>1071</v>
      </c>
      <c r="K268" s="18"/>
      <c r="L268" s="18"/>
      <c r="M268" s="18"/>
      <c r="N268" s="18"/>
      <c r="O268" s="21"/>
      <c r="P268" s="21"/>
      <c r="Q268" s="21"/>
      <c r="R268" s="21"/>
      <c r="S268" s="21"/>
      <c r="T268" s="21"/>
    </row>
    <row r="269" ht="30" customHeight="1">
      <c r="A269" t="s" s="15">
        <v>1072</v>
      </c>
      <c r="B269" s="16">
        <v>2005</v>
      </c>
      <c r="C269" t="s" s="15">
        <v>1073</v>
      </c>
      <c r="D269" t="s" s="17">
        <v>1074</v>
      </c>
      <c r="E269" t="s" s="17">
        <v>1075</v>
      </c>
      <c r="F269" s="18"/>
      <c r="G269" s="19">
        <v>2</v>
      </c>
      <c r="H269" t="s" s="20">
        <v>25</v>
      </c>
      <c r="I269" t="s" s="17">
        <v>26</v>
      </c>
      <c r="J269" t="s" s="17">
        <v>27</v>
      </c>
      <c r="K269" s="18"/>
      <c r="L269" s="18"/>
      <c r="M269" s="18"/>
      <c r="N269" s="18"/>
      <c r="O269" s="21"/>
      <c r="P269" s="21"/>
      <c r="Q269" s="21"/>
      <c r="R269" s="21"/>
      <c r="S269" s="21"/>
      <c r="T269" s="21"/>
    </row>
    <row r="270" ht="30" customHeight="1">
      <c r="A270" t="s" s="15">
        <v>1076</v>
      </c>
      <c r="B270" s="16">
        <v>2010</v>
      </c>
      <c r="C270" t="s" s="15">
        <v>1077</v>
      </c>
      <c r="D270" t="s" s="17">
        <v>1078</v>
      </c>
      <c r="E270" t="s" s="17">
        <v>1079</v>
      </c>
      <c r="F270" s="18"/>
      <c r="G270" s="19">
        <v>2</v>
      </c>
      <c r="H270" t="s" s="20">
        <v>25</v>
      </c>
      <c r="I270" t="s" s="17">
        <v>26</v>
      </c>
      <c r="J270" t="s" s="17">
        <v>27</v>
      </c>
      <c r="K270" s="18"/>
      <c r="L270" s="18"/>
      <c r="M270" s="18"/>
      <c r="N270" s="18"/>
      <c r="O270" s="21"/>
      <c r="P270" s="21"/>
      <c r="Q270" s="21"/>
      <c r="R270" s="21"/>
      <c r="S270" s="21"/>
      <c r="T270" s="21"/>
    </row>
    <row r="271" ht="30" customHeight="1">
      <c r="A271" t="s" s="15">
        <v>1080</v>
      </c>
      <c r="B271" s="16">
        <v>2022</v>
      </c>
      <c r="C271" t="s" s="15">
        <v>1081</v>
      </c>
      <c r="D271" t="s" s="17">
        <v>1082</v>
      </c>
      <c r="E271" t="s" s="17">
        <v>1083</v>
      </c>
      <c r="F271" s="18"/>
      <c r="G271" s="19">
        <v>3</v>
      </c>
      <c r="H271" t="s" s="20">
        <v>46</v>
      </c>
      <c r="I271" t="s" s="17">
        <v>26</v>
      </c>
      <c r="J271" t="s" s="17">
        <v>391</v>
      </c>
      <c r="K271" s="18"/>
      <c r="L271" s="18"/>
      <c r="M271" s="18"/>
      <c r="N271" s="18"/>
      <c r="O271" s="21"/>
      <c r="P271" s="21"/>
      <c r="Q271" s="21"/>
      <c r="R271" s="21"/>
      <c r="S271" s="21"/>
      <c r="T271" s="21"/>
    </row>
    <row r="272" ht="30" customHeight="1">
      <c r="A272" t="s" s="15">
        <v>1084</v>
      </c>
      <c r="B272" s="16">
        <v>2017</v>
      </c>
      <c r="C272" t="s" s="15">
        <v>1085</v>
      </c>
      <c r="D272" t="s" s="17">
        <v>1086</v>
      </c>
      <c r="E272" t="s" s="17">
        <v>1087</v>
      </c>
      <c r="F272" s="18"/>
      <c r="G272" s="19">
        <v>2</v>
      </c>
      <c r="H272" t="s" s="20">
        <v>25</v>
      </c>
      <c r="I272" t="s" s="17">
        <v>26</v>
      </c>
      <c r="J272" t="s" s="17">
        <v>27</v>
      </c>
      <c r="K272" s="18"/>
      <c r="L272" s="18"/>
      <c r="M272" s="18"/>
      <c r="N272" s="18"/>
      <c r="O272" s="21"/>
      <c r="P272" s="21"/>
      <c r="Q272" s="21"/>
      <c r="R272" s="21"/>
      <c r="S272" s="21"/>
      <c r="T272" s="21"/>
    </row>
    <row r="273" ht="30" customHeight="1">
      <c r="A273" t="s" s="15">
        <v>1088</v>
      </c>
      <c r="B273" s="16">
        <v>2017</v>
      </c>
      <c r="C273" t="s" s="15">
        <v>1085</v>
      </c>
      <c r="D273" t="s" s="17">
        <v>1086</v>
      </c>
      <c r="E273" t="s" s="17">
        <v>1089</v>
      </c>
      <c r="F273" s="18"/>
      <c r="G273" s="19">
        <v>2</v>
      </c>
      <c r="H273" t="s" s="20">
        <v>25</v>
      </c>
      <c r="I273" t="s" s="17">
        <v>26</v>
      </c>
      <c r="J273" t="s" s="17">
        <v>1090</v>
      </c>
      <c r="K273" s="18"/>
      <c r="L273" s="18"/>
      <c r="M273" s="18"/>
      <c r="N273" s="18"/>
      <c r="O273" s="21"/>
      <c r="P273" s="21"/>
      <c r="Q273" s="21"/>
      <c r="R273" s="21"/>
      <c r="S273" s="21"/>
      <c r="T273" s="21"/>
    </row>
    <row r="274" ht="26.55" customHeight="1">
      <c r="A274" t="s" s="15">
        <v>1091</v>
      </c>
      <c r="B274" s="16">
        <v>2011</v>
      </c>
      <c r="C274" t="s" s="15">
        <v>1092</v>
      </c>
      <c r="D274" t="s" s="17">
        <v>1093</v>
      </c>
      <c r="E274" t="s" s="17">
        <v>1094</v>
      </c>
      <c r="F274" s="18"/>
      <c r="G274" s="19">
        <v>3</v>
      </c>
      <c r="H274" t="s" s="20">
        <v>46</v>
      </c>
      <c r="I274" t="s" s="17">
        <v>26</v>
      </c>
      <c r="J274" t="s" s="17">
        <v>31</v>
      </c>
      <c r="K274" s="18"/>
      <c r="L274" s="18"/>
      <c r="M274" s="18"/>
      <c r="N274" s="18"/>
      <c r="O274" s="21"/>
      <c r="P274" s="21"/>
      <c r="Q274" s="21"/>
      <c r="R274" s="21"/>
      <c r="S274" s="21"/>
      <c r="T274" s="21"/>
    </row>
    <row r="275" ht="45" customHeight="1">
      <c r="A275" t="s" s="15">
        <v>1095</v>
      </c>
      <c r="B275" s="16">
        <v>2022</v>
      </c>
      <c r="C275" t="s" s="15">
        <v>1096</v>
      </c>
      <c r="D275" t="s" s="17">
        <v>1097</v>
      </c>
      <c r="E275" s="18"/>
      <c r="F275" s="18"/>
      <c r="G275" s="19">
        <v>2</v>
      </c>
      <c r="H275" t="s" s="20">
        <v>25</v>
      </c>
      <c r="I275" t="s" s="17">
        <v>42</v>
      </c>
      <c r="J275" s="18"/>
      <c r="K275" t="s" s="17">
        <v>43</v>
      </c>
      <c r="L275" t="s" s="17">
        <v>26</v>
      </c>
      <c r="M275" s="18"/>
      <c r="N275" t="s" s="17">
        <v>316</v>
      </c>
      <c r="O275" t="s" s="20">
        <v>1098</v>
      </c>
      <c r="P275" s="21"/>
      <c r="Q275" s="21"/>
      <c r="R275" s="21"/>
      <c r="S275" s="21"/>
      <c r="T275" s="21"/>
    </row>
    <row r="276" ht="39.55" customHeight="1">
      <c r="A276" t="s" s="15">
        <v>1099</v>
      </c>
      <c r="B276" s="16">
        <v>2013</v>
      </c>
      <c r="C276" t="s" s="15">
        <v>1100</v>
      </c>
      <c r="D276" t="s" s="17">
        <v>1101</v>
      </c>
      <c r="E276" t="s" s="17">
        <v>1102</v>
      </c>
      <c r="F276" s="18"/>
      <c r="G276" s="19">
        <v>2</v>
      </c>
      <c r="H276" t="s" s="20">
        <v>25</v>
      </c>
      <c r="I276" t="s" s="17">
        <v>26</v>
      </c>
      <c r="J276" t="s" s="17">
        <v>27</v>
      </c>
      <c r="K276" s="18"/>
      <c r="L276" s="18"/>
      <c r="M276" s="18"/>
      <c r="N276" s="18"/>
      <c r="O276" s="21"/>
      <c r="P276" s="21"/>
      <c r="Q276" s="21"/>
      <c r="R276" s="21"/>
      <c r="S276" s="21"/>
      <c r="T276" s="21"/>
    </row>
    <row r="277" ht="45" customHeight="1">
      <c r="A277" t="s" s="15">
        <v>1103</v>
      </c>
      <c r="B277" s="16">
        <v>2016</v>
      </c>
      <c r="C277" t="s" s="15">
        <v>1104</v>
      </c>
      <c r="D277" t="s" s="17">
        <v>1105</v>
      </c>
      <c r="E277" t="s" s="17">
        <v>1106</v>
      </c>
      <c r="F277" s="18"/>
      <c r="G277" s="19">
        <v>2</v>
      </c>
      <c r="H277" t="s" s="20">
        <v>25</v>
      </c>
      <c r="I277" t="s" s="17">
        <v>26</v>
      </c>
      <c r="J277" t="s" s="17">
        <v>187</v>
      </c>
      <c r="K277" s="18"/>
      <c r="L277" s="18"/>
      <c r="M277" s="18"/>
      <c r="N277" s="18"/>
      <c r="O277" s="21"/>
      <c r="P277" s="21"/>
      <c r="Q277" s="21"/>
      <c r="R277" s="21"/>
      <c r="S277" s="21"/>
      <c r="T277" s="21"/>
    </row>
    <row r="278" ht="39.55" customHeight="1">
      <c r="A278" t="s" s="15">
        <v>1107</v>
      </c>
      <c r="B278" s="16">
        <v>2018</v>
      </c>
      <c r="C278" t="s" s="15">
        <v>1108</v>
      </c>
      <c r="D278" t="s" s="17">
        <v>1109</v>
      </c>
      <c r="E278" t="s" s="17">
        <v>1110</v>
      </c>
      <c r="F278" s="18"/>
      <c r="G278" s="19">
        <v>3</v>
      </c>
      <c r="H278" t="s" s="20">
        <v>46</v>
      </c>
      <c r="I278" t="s" s="17">
        <v>26</v>
      </c>
      <c r="J278" t="s" s="17">
        <v>31</v>
      </c>
      <c r="K278" t="s" s="17">
        <v>454</v>
      </c>
      <c r="L278" s="18"/>
      <c r="M278" s="18"/>
      <c r="N278" s="18"/>
      <c r="O278" s="21"/>
      <c r="P278" s="21"/>
      <c r="Q278" s="21"/>
      <c r="R278" s="21"/>
      <c r="S278" s="21"/>
      <c r="T278" s="21"/>
    </row>
    <row r="279" ht="30" customHeight="1">
      <c r="A279" t="s" s="15">
        <v>1111</v>
      </c>
      <c r="B279" s="16">
        <v>2018</v>
      </c>
      <c r="C279" t="s" s="15">
        <v>1112</v>
      </c>
      <c r="D279" t="s" s="17">
        <v>1113</v>
      </c>
      <c r="E279" t="s" s="17">
        <v>1114</v>
      </c>
      <c r="F279" s="18"/>
      <c r="G279" s="19">
        <v>2</v>
      </c>
      <c r="H279" t="s" s="20">
        <v>25</v>
      </c>
      <c r="I279" t="s" s="17">
        <v>26</v>
      </c>
      <c r="J279" t="s" s="17">
        <v>102</v>
      </c>
      <c r="K279" s="18"/>
      <c r="L279" s="18"/>
      <c r="M279" s="18"/>
      <c r="N279" s="18"/>
      <c r="O279" s="21"/>
      <c r="P279" s="21"/>
      <c r="Q279" s="21"/>
      <c r="R279" s="21"/>
      <c r="S279" s="21"/>
      <c r="T279" s="21"/>
    </row>
    <row r="280" ht="26.55" customHeight="1">
      <c r="A280" t="s" s="15">
        <v>1115</v>
      </c>
      <c r="B280" s="16">
        <v>2017</v>
      </c>
      <c r="C280" t="s" s="15">
        <v>1116</v>
      </c>
      <c r="D280" t="s" s="17">
        <v>1117</v>
      </c>
      <c r="E280" s="18"/>
      <c r="F280" s="18"/>
      <c r="G280" s="19">
        <v>3</v>
      </c>
      <c r="H280" t="s" s="20">
        <v>46</v>
      </c>
      <c r="I280" t="s" s="17">
        <v>26</v>
      </c>
      <c r="J280" t="s" s="17">
        <v>31</v>
      </c>
      <c r="K280" t="s" s="17">
        <v>454</v>
      </c>
      <c r="L280" s="18"/>
      <c r="M280" s="18"/>
      <c r="N280" s="18"/>
      <c r="O280" s="21"/>
      <c r="P280" s="21"/>
      <c r="Q280" s="21"/>
      <c r="R280" s="21"/>
      <c r="S280" s="21"/>
      <c r="T280" s="21"/>
    </row>
    <row r="281" ht="30" customHeight="1">
      <c r="A281" t="s" s="15">
        <v>1118</v>
      </c>
      <c r="B281" s="16">
        <v>2018</v>
      </c>
      <c r="C281" t="s" s="15">
        <v>1119</v>
      </c>
      <c r="D281" t="s" s="17">
        <v>1120</v>
      </c>
      <c r="E281" t="s" s="17">
        <v>1121</v>
      </c>
      <c r="F281" s="18"/>
      <c r="G281" s="19">
        <v>3</v>
      </c>
      <c r="H281" t="s" s="20">
        <v>46</v>
      </c>
      <c r="I281" t="s" s="17">
        <v>26</v>
      </c>
      <c r="J281" t="s" s="17">
        <v>93</v>
      </c>
      <c r="K281" s="18"/>
      <c r="L281" s="18"/>
      <c r="M281" s="18"/>
      <c r="N281" s="18"/>
      <c r="O281" s="21"/>
      <c r="P281" s="21"/>
      <c r="Q281" s="21"/>
      <c r="R281" s="21"/>
      <c r="S281" s="21"/>
      <c r="T281" s="21"/>
    </row>
    <row r="282" ht="30" customHeight="1">
      <c r="A282" t="s" s="15">
        <v>1122</v>
      </c>
      <c r="B282" s="16">
        <v>2007</v>
      </c>
      <c r="C282" t="s" s="15">
        <v>1123</v>
      </c>
      <c r="D282" t="s" s="17">
        <v>1124</v>
      </c>
      <c r="E282" t="s" s="17">
        <v>1125</v>
      </c>
      <c r="F282" s="18"/>
      <c r="G282" s="19">
        <v>2</v>
      </c>
      <c r="H282" t="s" s="20">
        <v>25</v>
      </c>
      <c r="I282" t="s" s="17">
        <v>26</v>
      </c>
      <c r="J282" t="s" s="17">
        <v>1050</v>
      </c>
      <c r="K282" s="18"/>
      <c r="L282" s="18"/>
      <c r="M282" s="18"/>
      <c r="N282" s="18"/>
      <c r="O282" s="21"/>
      <c r="P282" s="21"/>
      <c r="Q282" s="21"/>
      <c r="R282" s="21"/>
      <c r="S282" s="21"/>
      <c r="T282" s="21"/>
    </row>
    <row r="283" ht="39.55" customHeight="1">
      <c r="A283" t="s" s="15">
        <v>1126</v>
      </c>
      <c r="B283" s="16">
        <v>2012</v>
      </c>
      <c r="C283" t="s" s="15">
        <v>1127</v>
      </c>
      <c r="D283" t="s" s="17">
        <v>1128</v>
      </c>
      <c r="E283" t="s" s="17">
        <v>1129</v>
      </c>
      <c r="F283" s="18"/>
      <c r="G283" s="19">
        <v>2</v>
      </c>
      <c r="H283" t="s" s="20">
        <v>25</v>
      </c>
      <c r="I283" t="s" s="17">
        <v>26</v>
      </c>
      <c r="J283" t="s" s="17">
        <v>27</v>
      </c>
      <c r="K283" s="18"/>
      <c r="L283" s="18"/>
      <c r="M283" s="18"/>
      <c r="N283" s="18"/>
      <c r="O283" s="21"/>
      <c r="P283" s="21"/>
      <c r="Q283" s="21"/>
      <c r="R283" s="21"/>
      <c r="S283" s="21"/>
      <c r="T283" s="21"/>
    </row>
    <row r="284" ht="45" customHeight="1">
      <c r="A284" t="s" s="15">
        <v>1130</v>
      </c>
      <c r="B284" s="16">
        <v>2013</v>
      </c>
      <c r="C284" t="s" s="15">
        <v>1131</v>
      </c>
      <c r="D284" t="s" s="17">
        <v>1132</v>
      </c>
      <c r="E284" t="s" s="17">
        <v>1133</v>
      </c>
      <c r="F284" s="18"/>
      <c r="G284" s="19">
        <v>3</v>
      </c>
      <c r="H284" t="s" s="20">
        <v>46</v>
      </c>
      <c r="I284" t="s" s="17">
        <v>42</v>
      </c>
      <c r="J284" t="s" s="17">
        <v>31</v>
      </c>
      <c r="K284" t="s" s="17">
        <v>80</v>
      </c>
      <c r="L284" s="18"/>
      <c r="M284" s="18"/>
      <c r="N284" s="18"/>
      <c r="O284" s="21"/>
      <c r="P284" s="21"/>
      <c r="Q284" s="21"/>
      <c r="R284" s="21"/>
      <c r="S284" s="21"/>
      <c r="T284" s="21"/>
    </row>
    <row r="285" ht="30" customHeight="1">
      <c r="A285" t="s" s="15">
        <v>1134</v>
      </c>
      <c r="B285" s="16">
        <v>2015</v>
      </c>
      <c r="C285" t="s" s="15">
        <v>1135</v>
      </c>
      <c r="D285" t="s" s="17">
        <v>1136</v>
      </c>
      <c r="E285" t="s" s="17">
        <v>1137</v>
      </c>
      <c r="F285" s="18"/>
      <c r="G285" s="19">
        <v>2</v>
      </c>
      <c r="H285" t="s" s="20">
        <v>25</v>
      </c>
      <c r="I285" t="s" s="17">
        <v>26</v>
      </c>
      <c r="J285" t="s" s="17">
        <v>27</v>
      </c>
      <c r="K285" s="18"/>
      <c r="L285" s="18"/>
      <c r="M285" s="18"/>
      <c r="N285" s="18"/>
      <c r="O285" s="21"/>
      <c r="P285" s="21"/>
      <c r="Q285" s="21"/>
      <c r="R285" s="21"/>
      <c r="S285" s="21"/>
      <c r="T285" s="21"/>
    </row>
    <row r="286" ht="45" customHeight="1">
      <c r="A286" t="s" s="15">
        <v>1138</v>
      </c>
      <c r="B286" s="16">
        <v>2022</v>
      </c>
      <c r="C286" t="s" s="15">
        <v>1139</v>
      </c>
      <c r="D286" t="s" s="17">
        <v>1140</v>
      </c>
      <c r="E286" t="s" s="17">
        <v>1141</v>
      </c>
      <c r="F286" s="18"/>
      <c r="G286" s="19">
        <v>2</v>
      </c>
      <c r="H286" t="s" s="20">
        <v>25</v>
      </c>
      <c r="I286" t="s" s="17">
        <v>26</v>
      </c>
      <c r="J286" t="s" s="17">
        <v>102</v>
      </c>
      <c r="K286" s="18"/>
      <c r="L286" s="18"/>
      <c r="M286" s="18"/>
      <c r="N286" s="18"/>
      <c r="O286" s="21"/>
      <c r="P286" s="21"/>
      <c r="Q286" s="21"/>
      <c r="R286" s="21"/>
      <c r="S286" s="21"/>
      <c r="T286" s="21"/>
    </row>
    <row r="287" ht="26.55" customHeight="1">
      <c r="A287" t="s" s="15">
        <v>1142</v>
      </c>
      <c r="B287" s="16">
        <v>2019</v>
      </c>
      <c r="C287" t="s" s="15">
        <v>1143</v>
      </c>
      <c r="D287" t="s" s="17">
        <v>1144</v>
      </c>
      <c r="E287" t="s" s="17">
        <v>1145</v>
      </c>
      <c r="F287" s="18"/>
      <c r="G287" s="19">
        <v>2</v>
      </c>
      <c r="H287" t="s" s="20">
        <v>25</v>
      </c>
      <c r="I287" t="s" s="17">
        <v>26</v>
      </c>
      <c r="J287" t="s" s="17">
        <v>27</v>
      </c>
      <c r="K287" s="18"/>
      <c r="L287" s="18"/>
      <c r="M287" s="18"/>
      <c r="N287" s="18"/>
      <c r="O287" s="21"/>
      <c r="P287" s="21"/>
      <c r="Q287" s="21"/>
      <c r="R287" s="21"/>
      <c r="S287" s="21"/>
      <c r="T287" s="21"/>
    </row>
    <row r="288" ht="30" customHeight="1">
      <c r="A288" t="s" s="15">
        <v>1146</v>
      </c>
      <c r="B288" s="16">
        <v>2022</v>
      </c>
      <c r="C288" t="s" s="15">
        <v>1147</v>
      </c>
      <c r="D288" t="s" s="17">
        <v>1148</v>
      </c>
      <c r="E288" t="s" s="17">
        <v>1149</v>
      </c>
      <c r="F288" s="18"/>
      <c r="G288" s="19">
        <v>3</v>
      </c>
      <c r="H288" t="s" s="20">
        <v>46</v>
      </c>
      <c r="I288" t="s" s="17">
        <v>42</v>
      </c>
      <c r="J288" s="18"/>
      <c r="K288" t="s" s="17">
        <v>43</v>
      </c>
      <c r="L288" t="s" s="17">
        <v>42</v>
      </c>
      <c r="M288" t="s" s="17">
        <v>505</v>
      </c>
      <c r="N288" s="18"/>
      <c r="O288" s="21"/>
      <c r="P288" t="s" s="20">
        <v>25</v>
      </c>
      <c r="Q288" s="21"/>
      <c r="R288" s="21"/>
      <c r="S288" s="21"/>
      <c r="T288" s="21"/>
    </row>
    <row r="289" ht="45" customHeight="1">
      <c r="A289" t="s" s="15">
        <v>1150</v>
      </c>
      <c r="B289" s="16">
        <v>2011</v>
      </c>
      <c r="C289" t="s" s="15">
        <v>1151</v>
      </c>
      <c r="D289" t="s" s="17">
        <v>1152</v>
      </c>
      <c r="E289" t="s" s="17">
        <v>1153</v>
      </c>
      <c r="F289" s="18"/>
      <c r="G289" s="19">
        <v>2</v>
      </c>
      <c r="H289" t="s" s="20">
        <v>25</v>
      </c>
      <c r="I289" t="s" s="17">
        <v>26</v>
      </c>
      <c r="J289" t="s" s="17">
        <v>187</v>
      </c>
      <c r="K289" s="18"/>
      <c r="L289" s="18"/>
      <c r="M289" s="18"/>
      <c r="N289" s="18"/>
      <c r="O289" s="21"/>
      <c r="P289" s="21"/>
      <c r="Q289" s="21"/>
      <c r="R289" s="21"/>
      <c r="S289" s="21"/>
      <c r="T289" s="21"/>
    </row>
    <row r="290" ht="39.55" customHeight="1">
      <c r="A290" t="s" s="15">
        <v>1154</v>
      </c>
      <c r="B290" s="16">
        <v>2016</v>
      </c>
      <c r="C290" t="s" s="15">
        <v>1155</v>
      </c>
      <c r="D290" t="s" s="17">
        <v>1156</v>
      </c>
      <c r="E290" t="s" s="17">
        <v>1157</v>
      </c>
      <c r="F290" s="18"/>
      <c r="G290" s="19">
        <v>2</v>
      </c>
      <c r="H290" t="s" s="20">
        <v>25</v>
      </c>
      <c r="I290" t="s" s="17">
        <v>26</v>
      </c>
      <c r="J290" t="s" s="17">
        <v>1158</v>
      </c>
      <c r="K290" s="18"/>
      <c r="L290" s="18"/>
      <c r="M290" s="18"/>
      <c r="N290" s="18"/>
      <c r="O290" s="21"/>
      <c r="P290" s="21"/>
      <c r="Q290" s="21"/>
      <c r="R290" s="21"/>
      <c r="S290" s="21"/>
      <c r="T290" s="21"/>
    </row>
    <row r="291" ht="30" customHeight="1">
      <c r="A291" t="s" s="15">
        <v>1159</v>
      </c>
      <c r="B291" s="16">
        <v>2020</v>
      </c>
      <c r="C291" t="s" s="15">
        <v>1160</v>
      </c>
      <c r="D291" t="s" s="17">
        <v>1161</v>
      </c>
      <c r="E291" t="s" s="17">
        <v>1162</v>
      </c>
      <c r="F291" s="18"/>
      <c r="G291" s="19">
        <v>2</v>
      </c>
      <c r="H291" t="s" s="20">
        <v>25</v>
      </c>
      <c r="I291" t="s" s="17">
        <v>42</v>
      </c>
      <c r="J291" s="18"/>
      <c r="K291" t="s" s="17">
        <v>43</v>
      </c>
      <c r="L291" t="s" s="17">
        <v>42</v>
      </c>
      <c r="M291" t="s" s="17">
        <v>212</v>
      </c>
      <c r="N291" s="18"/>
      <c r="O291" s="21"/>
      <c r="P291" t="s" s="20">
        <v>46</v>
      </c>
      <c r="Q291" s="21"/>
      <c r="R291" s="21"/>
      <c r="S291" s="21"/>
      <c r="T291" s="21"/>
    </row>
    <row r="292" ht="30" customHeight="1">
      <c r="A292" t="s" s="15">
        <v>1163</v>
      </c>
      <c r="B292" s="16">
        <v>2022</v>
      </c>
      <c r="C292" t="s" s="15">
        <v>1160</v>
      </c>
      <c r="D292" t="s" s="17">
        <v>1164</v>
      </c>
      <c r="E292" t="s" s="17">
        <v>1165</v>
      </c>
      <c r="F292" s="18"/>
      <c r="G292" s="19">
        <v>3</v>
      </c>
      <c r="H292" t="s" s="20">
        <v>46</v>
      </c>
      <c r="I292" t="s" s="17">
        <v>26</v>
      </c>
      <c r="J292" t="s" s="17">
        <v>31</v>
      </c>
      <c r="K292" s="18"/>
      <c r="L292" s="18"/>
      <c r="M292" s="18"/>
      <c r="N292" s="18"/>
      <c r="O292" s="21"/>
      <c r="P292" s="21"/>
      <c r="Q292" s="21"/>
      <c r="R292" s="21"/>
      <c r="S292" s="21"/>
      <c r="T292" s="21"/>
    </row>
    <row r="293" ht="30" customHeight="1">
      <c r="A293" t="s" s="15">
        <v>1166</v>
      </c>
      <c r="B293" s="16">
        <v>2020</v>
      </c>
      <c r="C293" t="s" s="15">
        <v>1167</v>
      </c>
      <c r="D293" t="s" s="17">
        <v>1168</v>
      </c>
      <c r="E293" t="s" s="17">
        <v>1169</v>
      </c>
      <c r="F293" s="18"/>
      <c r="G293" s="19">
        <v>3</v>
      </c>
      <c r="H293" t="s" s="20">
        <v>46</v>
      </c>
      <c r="I293" t="s" s="17">
        <v>26</v>
      </c>
      <c r="J293" t="s" s="17">
        <v>93</v>
      </c>
      <c r="K293" t="s" s="17">
        <v>86</v>
      </c>
      <c r="L293" s="18"/>
      <c r="M293" s="18"/>
      <c r="N293" s="18"/>
      <c r="O293" s="21"/>
      <c r="P293" s="21"/>
      <c r="Q293" s="21"/>
      <c r="R293" s="21"/>
      <c r="S293" s="21"/>
      <c r="T293" s="21"/>
    </row>
    <row r="294" ht="30" customHeight="1">
      <c r="A294" t="s" s="15">
        <v>1170</v>
      </c>
      <c r="B294" s="16">
        <v>2022</v>
      </c>
      <c r="C294" t="s" s="15">
        <v>1167</v>
      </c>
      <c r="D294" t="s" s="17">
        <v>1171</v>
      </c>
      <c r="E294" t="s" s="17">
        <v>1172</v>
      </c>
      <c r="F294" s="18"/>
      <c r="G294" s="19">
        <v>3</v>
      </c>
      <c r="H294" t="s" s="20">
        <v>46</v>
      </c>
      <c r="I294" t="s" s="17">
        <v>26</v>
      </c>
      <c r="J294" t="s" s="17">
        <v>93</v>
      </c>
      <c r="K294" s="18"/>
      <c r="L294" s="18"/>
      <c r="M294" s="18"/>
      <c r="N294" s="18"/>
      <c r="O294" s="21"/>
      <c r="P294" s="21"/>
      <c r="Q294" s="21"/>
      <c r="R294" s="21"/>
      <c r="S294" s="21"/>
      <c r="T294" s="21"/>
    </row>
    <row r="295" ht="30" customHeight="1">
      <c r="A295" t="s" s="15">
        <v>1173</v>
      </c>
      <c r="B295" s="16">
        <v>2010</v>
      </c>
      <c r="C295" t="s" s="15">
        <v>1174</v>
      </c>
      <c r="D295" t="s" s="17">
        <v>1175</v>
      </c>
      <c r="E295" t="s" s="17">
        <v>1176</v>
      </c>
      <c r="F295" s="18"/>
      <c r="G295" s="19">
        <v>2</v>
      </c>
      <c r="H295" t="s" s="20">
        <v>25</v>
      </c>
      <c r="I295" t="s" s="17">
        <v>42</v>
      </c>
      <c r="J295" s="18"/>
      <c r="K295" t="s" s="17">
        <v>43</v>
      </c>
      <c r="L295" t="s" s="17">
        <v>42</v>
      </c>
      <c r="M295" t="s" s="17">
        <v>212</v>
      </c>
      <c r="N295" s="18"/>
      <c r="O295" s="21"/>
      <c r="P295" t="s" s="20">
        <v>25</v>
      </c>
      <c r="Q295" s="21"/>
      <c r="R295" s="21"/>
      <c r="S295" s="21"/>
      <c r="T295" s="21"/>
    </row>
    <row r="296" ht="30" customHeight="1">
      <c r="A296" t="s" s="15">
        <v>1177</v>
      </c>
      <c r="B296" s="16">
        <v>2018</v>
      </c>
      <c r="C296" t="s" s="15">
        <v>1174</v>
      </c>
      <c r="D296" t="s" s="17">
        <v>1178</v>
      </c>
      <c r="E296" t="s" s="17">
        <v>1179</v>
      </c>
      <c r="F296" s="18"/>
      <c r="G296" s="19">
        <v>3</v>
      </c>
      <c r="H296" t="s" s="20">
        <v>46</v>
      </c>
      <c r="I296" t="s" s="17">
        <v>42</v>
      </c>
      <c r="J296" s="18"/>
      <c r="K296" t="s" s="17">
        <v>1180</v>
      </c>
      <c r="L296" t="s" s="17">
        <v>42</v>
      </c>
      <c r="M296" t="s" s="17">
        <v>505</v>
      </c>
      <c r="N296" s="18"/>
      <c r="O296" s="21"/>
      <c r="P296" t="s" s="20">
        <v>25</v>
      </c>
      <c r="Q296" s="21"/>
      <c r="R296" s="21"/>
      <c r="S296" s="21"/>
      <c r="T296" s="21"/>
    </row>
    <row r="297" ht="45" customHeight="1">
      <c r="A297" t="s" s="15">
        <v>1181</v>
      </c>
      <c r="B297" s="16">
        <v>2020</v>
      </c>
      <c r="C297" t="s" s="15">
        <v>1174</v>
      </c>
      <c r="D297" t="s" s="17">
        <v>1182</v>
      </c>
      <c r="E297" t="s" s="17">
        <v>1183</v>
      </c>
      <c r="F297" s="18"/>
      <c r="G297" s="19">
        <v>2</v>
      </c>
      <c r="H297" t="s" s="20">
        <v>25</v>
      </c>
      <c r="I297" t="s" s="17">
        <v>26</v>
      </c>
      <c r="J297" t="s" s="17">
        <v>27</v>
      </c>
      <c r="K297" s="18"/>
      <c r="L297" s="18"/>
      <c r="M297" s="18"/>
      <c r="N297" s="18"/>
      <c r="O297" s="21"/>
      <c r="P297" s="21"/>
      <c r="Q297" s="21"/>
      <c r="R297" s="21"/>
      <c r="S297" s="21"/>
      <c r="T297" s="21"/>
    </row>
    <row r="298" ht="30" customHeight="1">
      <c r="A298" t="s" s="15">
        <v>1184</v>
      </c>
      <c r="B298" s="16">
        <v>2019</v>
      </c>
      <c r="C298" t="s" s="15">
        <v>1185</v>
      </c>
      <c r="D298" t="s" s="17">
        <v>1186</v>
      </c>
      <c r="E298" t="s" s="17">
        <v>1187</v>
      </c>
      <c r="F298" s="18"/>
      <c r="G298" s="19">
        <v>3</v>
      </c>
      <c r="H298" t="s" s="20">
        <v>46</v>
      </c>
      <c r="I298" t="s" s="17">
        <v>26</v>
      </c>
      <c r="J298" t="s" s="17">
        <v>93</v>
      </c>
      <c r="K298" s="18"/>
      <c r="L298" s="18"/>
      <c r="M298" s="18"/>
      <c r="N298" s="18"/>
      <c r="O298" s="21"/>
      <c r="P298" s="21"/>
      <c r="Q298" s="21"/>
      <c r="R298" s="21"/>
      <c r="S298" s="21"/>
      <c r="T298" s="21"/>
    </row>
    <row r="299" ht="30" customHeight="1">
      <c r="A299" t="s" s="15">
        <v>1188</v>
      </c>
      <c r="B299" s="16">
        <v>2020</v>
      </c>
      <c r="C299" t="s" s="15">
        <v>1189</v>
      </c>
      <c r="D299" t="s" s="17">
        <v>1190</v>
      </c>
      <c r="E299" t="s" s="17">
        <v>1191</v>
      </c>
      <c r="F299" s="18"/>
      <c r="G299" s="19">
        <v>2</v>
      </c>
      <c r="H299" t="s" s="20">
        <v>25</v>
      </c>
      <c r="I299" t="s" s="17">
        <v>26</v>
      </c>
      <c r="J299" t="s" s="17">
        <v>1050</v>
      </c>
      <c r="K299" s="18"/>
      <c r="L299" s="18"/>
      <c r="M299" s="18"/>
      <c r="N299" s="18"/>
      <c r="O299" s="21"/>
      <c r="P299" s="21"/>
      <c r="Q299" s="21"/>
      <c r="R299" s="21"/>
      <c r="S299" s="21"/>
      <c r="T299" s="21"/>
    </row>
    <row r="300" ht="30" customHeight="1">
      <c r="A300" t="s" s="15">
        <v>1192</v>
      </c>
      <c r="B300" s="16">
        <v>2018</v>
      </c>
      <c r="C300" t="s" s="15">
        <v>1193</v>
      </c>
      <c r="D300" t="s" s="17">
        <v>1194</v>
      </c>
      <c r="E300" t="s" s="17">
        <v>1195</v>
      </c>
      <c r="F300" s="18"/>
      <c r="G300" s="19">
        <v>2</v>
      </c>
      <c r="H300" t="s" s="20">
        <v>25</v>
      </c>
      <c r="I300" t="s" s="17">
        <v>26</v>
      </c>
      <c r="J300" t="s" s="17">
        <v>27</v>
      </c>
      <c r="K300" s="18"/>
      <c r="L300" s="18"/>
      <c r="M300" s="18"/>
      <c r="N300" s="18"/>
      <c r="O300" s="21"/>
      <c r="P300" s="21"/>
      <c r="Q300" s="21"/>
      <c r="R300" s="21"/>
      <c r="S300" s="21"/>
      <c r="T300" s="21"/>
    </row>
    <row r="301" ht="30" customHeight="1">
      <c r="A301" t="s" s="15">
        <v>1196</v>
      </c>
      <c r="B301" s="16">
        <v>2015</v>
      </c>
      <c r="C301" t="s" s="15">
        <v>1197</v>
      </c>
      <c r="D301" t="s" s="17">
        <v>1198</v>
      </c>
      <c r="E301" t="s" s="17">
        <v>1199</v>
      </c>
      <c r="F301" s="18"/>
      <c r="G301" s="19">
        <v>2</v>
      </c>
      <c r="H301" t="s" s="20">
        <v>25</v>
      </c>
      <c r="I301" t="s" s="17">
        <v>26</v>
      </c>
      <c r="J301" t="s" s="17">
        <v>27</v>
      </c>
      <c r="K301" s="18"/>
      <c r="L301" s="18"/>
      <c r="M301" s="18"/>
      <c r="N301" s="18"/>
      <c r="O301" s="21"/>
      <c r="P301" s="21"/>
      <c r="Q301" s="21"/>
      <c r="R301" s="21"/>
      <c r="S301" s="21"/>
      <c r="T301" s="21"/>
    </row>
    <row r="302" ht="45" customHeight="1">
      <c r="A302" t="s" s="15">
        <v>1200</v>
      </c>
      <c r="B302" s="16">
        <v>2022</v>
      </c>
      <c r="C302" t="s" s="15">
        <v>1201</v>
      </c>
      <c r="D302" t="s" s="17">
        <v>1202</v>
      </c>
      <c r="E302" t="s" s="17">
        <v>1203</v>
      </c>
      <c r="F302" s="18"/>
      <c r="G302" s="19">
        <v>2</v>
      </c>
      <c r="H302" t="s" s="20">
        <v>25</v>
      </c>
      <c r="I302" t="s" s="17">
        <v>42</v>
      </c>
      <c r="J302" s="18"/>
      <c r="K302" t="s" s="17">
        <v>293</v>
      </c>
      <c r="L302" t="s" s="17">
        <v>26</v>
      </c>
      <c r="M302" s="18"/>
      <c r="N302" t="s" s="17">
        <v>316</v>
      </c>
      <c r="O302" t="s" s="20">
        <v>1204</v>
      </c>
      <c r="P302" s="21"/>
      <c r="Q302" s="21"/>
      <c r="R302" s="21"/>
      <c r="S302" s="21"/>
      <c r="T302" s="21"/>
    </row>
    <row r="303" ht="30" customHeight="1">
      <c r="A303" t="s" s="15">
        <v>1205</v>
      </c>
      <c r="B303" s="16">
        <v>2011</v>
      </c>
      <c r="C303" t="s" s="15">
        <v>1206</v>
      </c>
      <c r="D303" t="s" s="17">
        <v>1207</v>
      </c>
      <c r="E303" t="s" s="17">
        <v>1208</v>
      </c>
      <c r="F303" s="18"/>
      <c r="G303" s="19">
        <v>2</v>
      </c>
      <c r="H303" t="s" s="20">
        <v>25</v>
      </c>
      <c r="I303" t="s" s="17">
        <v>26</v>
      </c>
      <c r="J303" t="s" s="17">
        <v>187</v>
      </c>
      <c r="K303" s="18"/>
      <c r="L303" s="18"/>
      <c r="M303" s="18"/>
      <c r="N303" s="18"/>
      <c r="O303" s="21"/>
      <c r="P303" s="21"/>
      <c r="Q303" s="21"/>
      <c r="R303" s="21"/>
      <c r="S303" s="21"/>
      <c r="T303" s="21"/>
    </row>
    <row r="304" ht="30" customHeight="1">
      <c r="A304" t="s" s="15">
        <v>1209</v>
      </c>
      <c r="B304" s="16">
        <v>2007</v>
      </c>
      <c r="C304" t="s" s="15">
        <v>1210</v>
      </c>
      <c r="D304" t="s" s="17">
        <v>1211</v>
      </c>
      <c r="E304" t="s" s="17">
        <v>1212</v>
      </c>
      <c r="F304" s="18"/>
      <c r="G304" s="19">
        <v>3</v>
      </c>
      <c r="H304" t="s" s="20">
        <v>46</v>
      </c>
      <c r="I304" t="s" s="17">
        <v>26</v>
      </c>
      <c r="J304" t="s" s="17">
        <v>1213</v>
      </c>
      <c r="K304" s="18"/>
      <c r="L304" s="18"/>
      <c r="M304" s="18"/>
      <c r="N304" s="18"/>
      <c r="O304" s="21"/>
      <c r="P304" s="21"/>
      <c r="Q304" s="21"/>
      <c r="R304" s="21"/>
      <c r="S304" s="21"/>
      <c r="T304" s="21"/>
    </row>
    <row r="305" ht="30" customHeight="1">
      <c r="A305" t="s" s="15">
        <v>1214</v>
      </c>
      <c r="B305" s="16">
        <v>2015</v>
      </c>
      <c r="C305" t="s" s="15">
        <v>1210</v>
      </c>
      <c r="D305" t="s" s="17">
        <v>1215</v>
      </c>
      <c r="E305" t="s" s="17">
        <v>1216</v>
      </c>
      <c r="F305" s="18"/>
      <c r="G305" s="19">
        <v>2</v>
      </c>
      <c r="H305" t="s" s="20">
        <v>25</v>
      </c>
      <c r="I305" t="s" s="17">
        <v>26</v>
      </c>
      <c r="J305" t="s" s="17">
        <v>848</v>
      </c>
      <c r="K305" s="18"/>
      <c r="L305" s="18"/>
      <c r="M305" s="18"/>
      <c r="N305" s="18"/>
      <c r="O305" s="21"/>
      <c r="P305" s="21"/>
      <c r="Q305" s="21"/>
      <c r="R305" s="21"/>
      <c r="S305" s="21"/>
      <c r="T305" s="21"/>
    </row>
    <row r="306" ht="30" customHeight="1">
      <c r="A306" t="s" s="15">
        <v>1217</v>
      </c>
      <c r="B306" s="16">
        <v>2013</v>
      </c>
      <c r="C306" t="s" s="15">
        <v>1218</v>
      </c>
      <c r="D306" t="s" s="17">
        <v>1219</v>
      </c>
      <c r="E306" s="18"/>
      <c r="F306" s="18"/>
      <c r="G306" s="19">
        <v>2</v>
      </c>
      <c r="H306" t="s" s="20">
        <v>25</v>
      </c>
      <c r="I306" t="s" s="17">
        <v>26</v>
      </c>
      <c r="J306" t="s" s="17">
        <v>1050</v>
      </c>
      <c r="K306" s="18"/>
      <c r="L306" s="18"/>
      <c r="M306" s="18"/>
      <c r="N306" s="18"/>
      <c r="O306" s="21"/>
      <c r="P306" s="21"/>
      <c r="Q306" s="21"/>
      <c r="R306" s="21"/>
      <c r="S306" s="21"/>
      <c r="T306" s="21"/>
    </row>
    <row r="307" ht="30" customHeight="1">
      <c r="A307" t="s" s="15">
        <v>1220</v>
      </c>
      <c r="B307" s="16">
        <v>2013</v>
      </c>
      <c r="C307" t="s" s="15">
        <v>1221</v>
      </c>
      <c r="D307" t="s" s="17">
        <v>1222</v>
      </c>
      <c r="E307" t="s" s="17">
        <v>1223</v>
      </c>
      <c r="F307" s="18"/>
      <c r="G307" s="19">
        <v>2</v>
      </c>
      <c r="H307" t="s" s="20">
        <v>25</v>
      </c>
      <c r="I307" t="s" s="17">
        <v>42</v>
      </c>
      <c r="J307" s="18"/>
      <c r="K307" t="s" s="17">
        <v>1224</v>
      </c>
      <c r="L307" t="s" s="17">
        <v>26</v>
      </c>
      <c r="M307" s="18"/>
      <c r="N307" t="s" s="17">
        <v>220</v>
      </c>
      <c r="O307" s="21"/>
      <c r="P307" s="21"/>
      <c r="Q307" s="21"/>
      <c r="R307" s="21"/>
      <c r="S307" s="21"/>
      <c r="T307" s="21"/>
    </row>
    <row r="308" ht="30" customHeight="1">
      <c r="A308" t="s" s="15">
        <v>1225</v>
      </c>
      <c r="B308" s="16">
        <v>2022</v>
      </c>
      <c r="C308" t="s" s="15">
        <v>1221</v>
      </c>
      <c r="D308" t="s" s="17">
        <v>1226</v>
      </c>
      <c r="E308" t="s" s="17">
        <v>1227</v>
      </c>
      <c r="F308" s="18"/>
      <c r="G308" s="19">
        <v>2</v>
      </c>
      <c r="H308" t="s" s="20">
        <v>25</v>
      </c>
      <c r="I308" t="s" s="17">
        <v>42</v>
      </c>
      <c r="J308" s="18"/>
      <c r="K308" t="s" s="17">
        <v>43</v>
      </c>
      <c r="L308" t="s" s="17">
        <v>42</v>
      </c>
      <c r="M308" t="s" s="17">
        <v>505</v>
      </c>
      <c r="N308" s="18"/>
      <c r="O308" s="21"/>
      <c r="P308" t="s" s="20">
        <v>25</v>
      </c>
      <c r="Q308" s="21"/>
      <c r="R308" s="21"/>
      <c r="S308" s="21"/>
      <c r="T308" s="21"/>
    </row>
    <row r="309" ht="30" customHeight="1">
      <c r="A309" t="s" s="15">
        <v>1228</v>
      </c>
      <c r="B309" s="16">
        <v>2015</v>
      </c>
      <c r="C309" t="s" s="15">
        <v>1229</v>
      </c>
      <c r="D309" t="s" s="17">
        <v>1230</v>
      </c>
      <c r="E309" t="s" s="17">
        <v>1231</v>
      </c>
      <c r="F309" s="18"/>
      <c r="G309" s="19">
        <v>3</v>
      </c>
      <c r="H309" t="s" s="20">
        <v>46</v>
      </c>
      <c r="I309" t="s" s="17">
        <v>26</v>
      </c>
      <c r="J309" t="s" s="17">
        <v>93</v>
      </c>
      <c r="K309" t="s" s="17">
        <v>1232</v>
      </c>
      <c r="L309" s="18"/>
      <c r="M309" s="18"/>
      <c r="N309" s="18"/>
      <c r="O309" s="21"/>
      <c r="P309" s="21"/>
      <c r="Q309" s="21"/>
      <c r="R309" s="21"/>
      <c r="S309" s="21"/>
      <c r="T309" s="21"/>
    </row>
    <row r="310" ht="30" customHeight="1">
      <c r="A310" t="s" s="15">
        <v>1233</v>
      </c>
      <c r="B310" s="16">
        <v>2021</v>
      </c>
      <c r="C310" t="s" s="15">
        <v>1234</v>
      </c>
      <c r="D310" t="s" s="17">
        <v>1235</v>
      </c>
      <c r="E310" t="s" s="17">
        <v>1236</v>
      </c>
      <c r="F310" s="18"/>
      <c r="G310" s="19">
        <v>3</v>
      </c>
      <c r="H310" t="s" s="20">
        <v>46</v>
      </c>
      <c r="I310" t="s" s="17">
        <v>26</v>
      </c>
      <c r="J310" t="s" s="17">
        <v>391</v>
      </c>
      <c r="K310" s="18"/>
      <c r="L310" s="18"/>
      <c r="M310" s="18"/>
      <c r="N310" s="18"/>
      <c r="O310" s="21"/>
      <c r="P310" s="21"/>
      <c r="Q310" s="21"/>
      <c r="R310" s="21"/>
      <c r="S310" s="21"/>
      <c r="T310" s="21"/>
    </row>
    <row r="311" ht="30" customHeight="1">
      <c r="A311" t="s" s="15">
        <v>1237</v>
      </c>
      <c r="B311" s="16">
        <v>2020</v>
      </c>
      <c r="C311" t="s" s="15">
        <v>1238</v>
      </c>
      <c r="D311" t="s" s="17">
        <v>1239</v>
      </c>
      <c r="E311" t="s" s="17">
        <v>1240</v>
      </c>
      <c r="F311" s="18"/>
      <c r="G311" s="19">
        <v>3</v>
      </c>
      <c r="H311" t="s" s="20">
        <v>46</v>
      </c>
      <c r="I311" t="s" s="17">
        <v>26</v>
      </c>
      <c r="J311" t="s" s="17">
        <v>31</v>
      </c>
      <c r="K311" t="s" s="17">
        <v>1241</v>
      </c>
      <c r="L311" s="18"/>
      <c r="M311" s="18"/>
      <c r="N311" s="18"/>
      <c r="O311" s="21"/>
      <c r="P311" s="21"/>
      <c r="Q311" s="21"/>
      <c r="R311" s="21"/>
      <c r="S311" s="21"/>
      <c r="T311" s="21"/>
    </row>
    <row r="312" ht="30" customHeight="1">
      <c r="A312" t="s" s="15">
        <v>1242</v>
      </c>
      <c r="B312" s="16">
        <v>2022</v>
      </c>
      <c r="C312" t="s" s="15">
        <v>1243</v>
      </c>
      <c r="D312" t="s" s="17">
        <v>1244</v>
      </c>
      <c r="E312" t="s" s="17">
        <v>1245</v>
      </c>
      <c r="F312" s="18"/>
      <c r="G312" s="19">
        <v>2</v>
      </c>
      <c r="H312" t="s" s="20">
        <v>25</v>
      </c>
      <c r="I312" t="s" s="17">
        <v>26</v>
      </c>
      <c r="J312" t="s" s="17">
        <v>93</v>
      </c>
      <c r="K312" s="18"/>
      <c r="L312" s="18"/>
      <c r="M312" s="18"/>
      <c r="N312" s="18"/>
      <c r="O312" s="21"/>
      <c r="P312" s="21"/>
      <c r="Q312" s="21"/>
      <c r="R312" s="21"/>
      <c r="S312" s="21"/>
      <c r="T312" s="21"/>
    </row>
    <row r="313" ht="26.55" customHeight="1">
      <c r="A313" t="s" s="15">
        <v>1246</v>
      </c>
      <c r="B313" s="16">
        <v>2020</v>
      </c>
      <c r="C313" t="s" s="15">
        <v>1247</v>
      </c>
      <c r="D313" t="s" s="17">
        <v>1248</v>
      </c>
      <c r="E313" t="s" s="17">
        <v>1249</v>
      </c>
      <c r="F313" s="18"/>
      <c r="G313" s="19">
        <v>2</v>
      </c>
      <c r="H313" t="s" s="20">
        <v>25</v>
      </c>
      <c r="I313" t="s" s="17">
        <v>26</v>
      </c>
      <c r="J313" t="s" s="17">
        <v>27</v>
      </c>
      <c r="K313" s="18"/>
      <c r="L313" s="18"/>
      <c r="M313" s="18"/>
      <c r="N313" s="18"/>
      <c r="O313" s="21"/>
      <c r="P313" s="21"/>
      <c r="Q313" s="21"/>
      <c r="R313" s="21"/>
      <c r="S313" s="21"/>
      <c r="T313" s="21"/>
    </row>
    <row r="314" ht="30" customHeight="1">
      <c r="A314" t="s" s="15">
        <v>1250</v>
      </c>
      <c r="B314" s="16">
        <v>2005</v>
      </c>
      <c r="C314" t="s" s="15">
        <v>1251</v>
      </c>
      <c r="D314" t="s" s="17">
        <v>1252</v>
      </c>
      <c r="E314" s="18"/>
      <c r="F314" s="18"/>
      <c r="G314" s="19">
        <v>2</v>
      </c>
      <c r="H314" t="s" s="20">
        <v>25</v>
      </c>
      <c r="I314" t="s" s="17">
        <v>26</v>
      </c>
      <c r="J314" t="s" s="17">
        <v>1050</v>
      </c>
      <c r="K314" s="18"/>
      <c r="L314" s="18"/>
      <c r="M314" s="18"/>
      <c r="N314" s="18"/>
      <c r="O314" s="21"/>
      <c r="P314" s="21"/>
      <c r="Q314" s="21"/>
      <c r="R314" s="21"/>
      <c r="S314" s="21"/>
      <c r="T314" s="21"/>
    </row>
    <row r="315" ht="30" customHeight="1">
      <c r="A315" t="s" s="15">
        <v>1253</v>
      </c>
      <c r="B315" s="16">
        <v>2006</v>
      </c>
      <c r="C315" t="s" s="15">
        <v>1251</v>
      </c>
      <c r="D315" t="s" s="17">
        <v>1254</v>
      </c>
      <c r="E315" s="18"/>
      <c r="F315" s="18"/>
      <c r="G315" s="19">
        <v>2</v>
      </c>
      <c r="H315" t="s" s="20">
        <v>25</v>
      </c>
      <c r="I315" t="s" s="17">
        <v>26</v>
      </c>
      <c r="J315" t="s" s="17">
        <v>1050</v>
      </c>
      <c r="K315" s="18"/>
      <c r="L315" s="18"/>
      <c r="M315" s="18"/>
      <c r="N315" s="18"/>
      <c r="O315" s="21"/>
      <c r="P315" s="21"/>
      <c r="Q315" s="21"/>
      <c r="R315" s="21"/>
      <c r="S315" s="21"/>
      <c r="T315" s="21"/>
    </row>
    <row r="316" ht="30" customHeight="1">
      <c r="A316" t="s" s="15">
        <v>1255</v>
      </c>
      <c r="B316" s="16">
        <v>2006</v>
      </c>
      <c r="C316" t="s" s="15">
        <v>1251</v>
      </c>
      <c r="D316" t="s" s="17">
        <v>1254</v>
      </c>
      <c r="E316" t="s" s="17">
        <v>1256</v>
      </c>
      <c r="F316" s="18"/>
      <c r="G316" s="19">
        <v>2</v>
      </c>
      <c r="H316" t="s" s="20">
        <v>25</v>
      </c>
      <c r="I316" t="s" s="17">
        <v>26</v>
      </c>
      <c r="J316" t="s" s="17">
        <v>1050</v>
      </c>
      <c r="K316" s="18"/>
      <c r="L316" s="18"/>
      <c r="M316" s="18"/>
      <c r="N316" s="18"/>
      <c r="O316" s="21"/>
      <c r="P316" s="21"/>
      <c r="Q316" s="21"/>
      <c r="R316" s="21"/>
      <c r="S316" s="21"/>
      <c r="T316" s="21"/>
    </row>
    <row r="317" ht="30" customHeight="1">
      <c r="A317" t="s" s="15">
        <v>1257</v>
      </c>
      <c r="B317" s="16">
        <v>2008</v>
      </c>
      <c r="C317" t="s" s="15">
        <v>1251</v>
      </c>
      <c r="D317" t="s" s="17">
        <v>1258</v>
      </c>
      <c r="E317" s="18"/>
      <c r="F317" s="18"/>
      <c r="G317" s="19">
        <v>2</v>
      </c>
      <c r="H317" t="s" s="20">
        <v>25</v>
      </c>
      <c r="I317" t="s" s="17">
        <v>26</v>
      </c>
      <c r="J317" t="s" s="17">
        <v>1259</v>
      </c>
      <c r="K317" s="18"/>
      <c r="L317" s="18"/>
      <c r="M317" s="18"/>
      <c r="N317" s="18"/>
      <c r="O317" s="21"/>
      <c r="P317" s="21"/>
      <c r="Q317" s="21"/>
      <c r="R317" s="21"/>
      <c r="S317" s="21"/>
      <c r="T317" s="21"/>
    </row>
    <row r="318" ht="45" customHeight="1">
      <c r="A318" t="s" s="15">
        <v>1260</v>
      </c>
      <c r="B318" s="16">
        <v>2009</v>
      </c>
      <c r="C318" t="s" s="15">
        <v>1251</v>
      </c>
      <c r="D318" t="s" s="17">
        <v>1261</v>
      </c>
      <c r="E318" t="s" s="17">
        <v>1262</v>
      </c>
      <c r="F318" s="18"/>
      <c r="G318" s="19">
        <v>2</v>
      </c>
      <c r="H318" t="s" s="20">
        <v>25</v>
      </c>
      <c r="I318" t="s" s="17">
        <v>26</v>
      </c>
      <c r="J318" t="s" s="17">
        <v>1050</v>
      </c>
      <c r="K318" s="18"/>
      <c r="L318" s="18"/>
      <c r="M318" s="18"/>
      <c r="N318" s="18"/>
      <c r="O318" s="21"/>
      <c r="P318" s="21"/>
      <c r="Q318" s="21"/>
      <c r="R318" s="21"/>
      <c r="S318" s="21"/>
      <c r="T318" s="21"/>
    </row>
    <row r="319" ht="30" customHeight="1">
      <c r="A319" t="s" s="15">
        <v>1263</v>
      </c>
      <c r="B319" s="16">
        <v>2010</v>
      </c>
      <c r="C319" t="s" s="15">
        <v>1251</v>
      </c>
      <c r="D319" t="s" s="17">
        <v>1264</v>
      </c>
      <c r="E319" s="18"/>
      <c r="F319" s="18"/>
      <c r="G319" s="19">
        <v>2</v>
      </c>
      <c r="H319" t="s" s="20">
        <v>25</v>
      </c>
      <c r="I319" t="s" s="17">
        <v>26</v>
      </c>
      <c r="J319" t="s" s="17">
        <v>31</v>
      </c>
      <c r="K319" t="s" s="17">
        <v>1265</v>
      </c>
      <c r="L319" s="18"/>
      <c r="M319" s="18"/>
      <c r="N319" s="18"/>
      <c r="O319" s="21"/>
      <c r="P319" s="21"/>
      <c r="Q319" s="21"/>
      <c r="R319" s="21"/>
      <c r="S319" s="21"/>
      <c r="T319" s="21"/>
    </row>
    <row r="320" ht="30" customHeight="1">
      <c r="A320" t="s" s="15">
        <v>1266</v>
      </c>
      <c r="B320" s="16">
        <v>2014</v>
      </c>
      <c r="C320" t="s" s="15">
        <v>1251</v>
      </c>
      <c r="D320" t="s" s="17">
        <v>1267</v>
      </c>
      <c r="E320" t="s" s="17">
        <v>1268</v>
      </c>
      <c r="F320" s="18"/>
      <c r="G320" s="19">
        <v>2</v>
      </c>
      <c r="H320" t="s" s="20">
        <v>25</v>
      </c>
      <c r="I320" t="s" s="17">
        <v>26</v>
      </c>
      <c r="J320" t="s" s="17">
        <v>1050</v>
      </c>
      <c r="K320" s="18"/>
      <c r="L320" s="18"/>
      <c r="M320" s="18"/>
      <c r="N320" s="18"/>
      <c r="O320" s="21"/>
      <c r="P320" s="21"/>
      <c r="Q320" s="21"/>
      <c r="R320" s="21"/>
      <c r="S320" s="21"/>
      <c r="T320" s="21"/>
    </row>
    <row r="321" ht="39.55" customHeight="1">
      <c r="A321" t="s" s="15">
        <v>1269</v>
      </c>
      <c r="B321" s="16">
        <v>2016</v>
      </c>
      <c r="C321" t="s" s="15">
        <v>1251</v>
      </c>
      <c r="D321" t="s" s="17">
        <v>1270</v>
      </c>
      <c r="E321" t="s" s="17">
        <v>1271</v>
      </c>
      <c r="F321" s="18"/>
      <c r="G321" s="19">
        <v>2</v>
      </c>
      <c r="H321" t="s" s="20">
        <v>25</v>
      </c>
      <c r="I321" t="s" s="17">
        <v>26</v>
      </c>
      <c r="J321" t="s" s="17">
        <v>1050</v>
      </c>
      <c r="K321" s="18"/>
      <c r="L321" s="18"/>
      <c r="M321" s="18"/>
      <c r="N321" s="18"/>
      <c r="O321" s="21"/>
      <c r="P321" s="21"/>
      <c r="Q321" s="21"/>
      <c r="R321" s="21"/>
      <c r="S321" s="21"/>
      <c r="T321" s="21"/>
    </row>
    <row r="322" ht="30" customHeight="1">
      <c r="A322" t="s" s="15">
        <v>1272</v>
      </c>
      <c r="B322" s="16">
        <v>2017</v>
      </c>
      <c r="C322" t="s" s="15">
        <v>1251</v>
      </c>
      <c r="D322" t="s" s="17">
        <v>1273</v>
      </c>
      <c r="E322" t="s" s="17">
        <v>1274</v>
      </c>
      <c r="F322" s="18"/>
      <c r="G322" s="19">
        <v>3</v>
      </c>
      <c r="H322" t="s" s="20">
        <v>46</v>
      </c>
      <c r="I322" t="s" s="17">
        <v>26</v>
      </c>
      <c r="J322" t="s" s="17">
        <v>93</v>
      </c>
      <c r="K322" s="18"/>
      <c r="L322" s="18"/>
      <c r="M322" s="18"/>
      <c r="N322" s="18"/>
      <c r="O322" s="21"/>
      <c r="P322" s="21"/>
      <c r="Q322" s="21"/>
      <c r="R322" s="21"/>
      <c r="S322" s="21"/>
      <c r="T322" s="21"/>
    </row>
    <row r="323" ht="45" customHeight="1">
      <c r="A323" t="s" s="15">
        <v>1275</v>
      </c>
      <c r="B323" s="16">
        <v>2018</v>
      </c>
      <c r="C323" t="s" s="15">
        <v>1251</v>
      </c>
      <c r="D323" t="s" s="17">
        <v>1276</v>
      </c>
      <c r="E323" t="s" s="17">
        <v>1277</v>
      </c>
      <c r="F323" s="18"/>
      <c r="G323" s="19">
        <v>2</v>
      </c>
      <c r="H323" t="s" s="20">
        <v>25</v>
      </c>
      <c r="I323" t="s" s="17">
        <v>26</v>
      </c>
      <c r="J323" t="s" s="17">
        <v>1050</v>
      </c>
      <c r="K323" s="18"/>
      <c r="L323" s="18"/>
      <c r="M323" s="18"/>
      <c r="N323" s="18"/>
      <c r="O323" s="21"/>
      <c r="P323" s="21"/>
      <c r="Q323" s="21"/>
      <c r="R323" s="21"/>
      <c r="S323" s="21"/>
      <c r="T323" s="21"/>
    </row>
    <row r="324" ht="26.55" customHeight="1">
      <c r="A324" t="s" s="15">
        <v>1278</v>
      </c>
      <c r="B324" s="16">
        <v>2007</v>
      </c>
      <c r="C324" t="s" s="15">
        <v>1279</v>
      </c>
      <c r="D324" t="s" s="17">
        <v>1280</v>
      </c>
      <c r="E324" s="18"/>
      <c r="F324" s="18"/>
      <c r="G324" s="19">
        <v>2</v>
      </c>
      <c r="H324" t="s" s="20">
        <v>25</v>
      </c>
      <c r="I324" t="s" s="17">
        <v>26</v>
      </c>
      <c r="J324" t="s" s="17">
        <v>1281</v>
      </c>
      <c r="K324" s="18"/>
      <c r="L324" s="18"/>
      <c r="M324" s="18"/>
      <c r="N324" s="18"/>
      <c r="O324" s="21"/>
      <c r="P324" s="21"/>
      <c r="Q324" s="21"/>
      <c r="R324" s="21"/>
      <c r="S324" s="21"/>
      <c r="T324" s="21"/>
    </row>
    <row r="325" ht="30" customHeight="1">
      <c r="A325" t="s" s="15">
        <v>1282</v>
      </c>
      <c r="B325" s="16">
        <v>2021</v>
      </c>
      <c r="C325" t="s" s="15">
        <v>1283</v>
      </c>
      <c r="D325" t="s" s="17">
        <v>1284</v>
      </c>
      <c r="E325" t="s" s="17">
        <v>1285</v>
      </c>
      <c r="F325" s="18"/>
      <c r="G325" s="19">
        <v>2</v>
      </c>
      <c r="H325" t="s" s="20">
        <v>25</v>
      </c>
      <c r="I325" t="s" s="17">
        <v>26</v>
      </c>
      <c r="J325" t="s" s="17">
        <v>970</v>
      </c>
      <c r="K325" s="18"/>
      <c r="L325" s="18"/>
      <c r="M325" s="18"/>
      <c r="N325" s="18"/>
      <c r="O325" s="21"/>
      <c r="P325" s="21"/>
      <c r="Q325" s="21"/>
      <c r="R325" s="21"/>
      <c r="S325" s="21"/>
      <c r="T325" s="21"/>
    </row>
    <row r="326" ht="30" customHeight="1">
      <c r="A326" t="s" s="15">
        <v>1286</v>
      </c>
      <c r="B326" s="16">
        <v>2021</v>
      </c>
      <c r="C326" t="s" s="15">
        <v>1287</v>
      </c>
      <c r="D326" t="s" s="17">
        <v>1288</v>
      </c>
      <c r="E326" t="s" s="17">
        <v>1289</v>
      </c>
      <c r="F326" s="18"/>
      <c r="G326" s="19">
        <v>2</v>
      </c>
      <c r="H326" t="s" s="20">
        <v>25</v>
      </c>
      <c r="I326" t="s" s="17">
        <v>26</v>
      </c>
      <c r="J326" t="s" s="17">
        <v>1281</v>
      </c>
      <c r="K326" s="18"/>
      <c r="L326" s="18"/>
      <c r="M326" s="18"/>
      <c r="N326" s="18"/>
      <c r="O326" s="21"/>
      <c r="P326" s="21"/>
      <c r="Q326" s="21"/>
      <c r="R326" s="21"/>
      <c r="S326" s="21"/>
      <c r="T326" s="21"/>
    </row>
    <row r="327" ht="30" customHeight="1">
      <c r="A327" t="s" s="15">
        <v>1290</v>
      </c>
      <c r="B327" s="16">
        <v>2022</v>
      </c>
      <c r="C327" t="s" s="15">
        <v>1291</v>
      </c>
      <c r="D327" t="s" s="17">
        <v>1292</v>
      </c>
      <c r="E327" t="s" s="17">
        <v>1293</v>
      </c>
      <c r="F327" s="18"/>
      <c r="G327" s="19">
        <v>3</v>
      </c>
      <c r="H327" t="s" s="20">
        <v>46</v>
      </c>
      <c r="I327" t="s" s="17">
        <v>26</v>
      </c>
      <c r="J327" t="s" s="17">
        <v>93</v>
      </c>
      <c r="K327" t="s" s="17">
        <v>1294</v>
      </c>
      <c r="L327" s="18"/>
      <c r="M327" s="18"/>
      <c r="N327" s="18"/>
      <c r="O327" s="21"/>
      <c r="P327" s="21"/>
      <c r="Q327" s="21"/>
      <c r="R327" s="21"/>
      <c r="S327" s="21"/>
      <c r="T327" s="21"/>
    </row>
    <row r="328" ht="30" customHeight="1">
      <c r="A328" t="s" s="15">
        <v>1295</v>
      </c>
      <c r="B328" s="16">
        <v>2015</v>
      </c>
      <c r="C328" t="s" s="15">
        <v>1296</v>
      </c>
      <c r="D328" t="s" s="17">
        <v>1297</v>
      </c>
      <c r="E328" t="s" s="17">
        <v>1298</v>
      </c>
      <c r="F328" s="18"/>
      <c r="G328" s="19">
        <v>2</v>
      </c>
      <c r="H328" t="s" s="20">
        <v>25</v>
      </c>
      <c r="I328" t="s" s="17">
        <v>26</v>
      </c>
      <c r="J328" t="s" s="17">
        <v>848</v>
      </c>
      <c r="K328" s="18"/>
      <c r="L328" s="18"/>
      <c r="M328" s="18"/>
      <c r="N328" s="18"/>
      <c r="O328" s="21"/>
      <c r="P328" s="21"/>
      <c r="Q328" s="21"/>
      <c r="R328" s="21"/>
      <c r="S328" s="21"/>
      <c r="T328" s="21"/>
    </row>
    <row r="329" ht="39.55" customHeight="1">
      <c r="A329" t="s" s="15">
        <v>1299</v>
      </c>
      <c r="B329" s="16">
        <v>2020</v>
      </c>
      <c r="C329" t="s" s="15">
        <v>1300</v>
      </c>
      <c r="D329" t="s" s="17">
        <v>1301</v>
      </c>
      <c r="E329" t="s" s="17">
        <v>1302</v>
      </c>
      <c r="F329" s="18"/>
      <c r="G329" s="19">
        <v>2</v>
      </c>
      <c r="H329" t="s" s="20">
        <v>25</v>
      </c>
      <c r="I329" t="s" s="17">
        <v>26</v>
      </c>
      <c r="J329" t="s" s="17">
        <v>1303</v>
      </c>
      <c r="K329" s="18"/>
      <c r="L329" s="18"/>
      <c r="M329" s="18"/>
      <c r="N329" s="18"/>
      <c r="O329" s="21"/>
      <c r="P329" s="21"/>
      <c r="Q329" s="21"/>
      <c r="R329" s="21"/>
      <c r="S329" s="21"/>
      <c r="T329" s="21"/>
    </row>
    <row r="330" ht="26.55" customHeight="1">
      <c r="A330" t="s" s="15">
        <v>1304</v>
      </c>
      <c r="B330" s="16">
        <v>2012</v>
      </c>
      <c r="C330" t="s" s="15">
        <v>1305</v>
      </c>
      <c r="D330" t="s" s="17">
        <v>1306</v>
      </c>
      <c r="E330" t="s" s="17">
        <v>1307</v>
      </c>
      <c r="F330" s="18"/>
      <c r="G330" s="19">
        <v>3</v>
      </c>
      <c r="H330" t="s" s="20">
        <v>46</v>
      </c>
      <c r="I330" t="s" s="17">
        <v>26</v>
      </c>
      <c r="J330" t="s" s="17">
        <v>31</v>
      </c>
      <c r="K330" t="s" s="17">
        <v>1055</v>
      </c>
      <c r="L330" s="18"/>
      <c r="M330" s="18"/>
      <c r="N330" s="18"/>
      <c r="O330" s="21"/>
      <c r="P330" s="21"/>
      <c r="Q330" s="21"/>
      <c r="R330" s="21"/>
      <c r="S330" s="21"/>
      <c r="T330" s="21"/>
    </row>
    <row r="331" ht="30" customHeight="1">
      <c r="A331" t="s" s="15">
        <v>1308</v>
      </c>
      <c r="B331" s="16">
        <v>2023</v>
      </c>
      <c r="C331" t="s" s="15">
        <v>1305</v>
      </c>
      <c r="D331" t="s" s="17">
        <v>1309</v>
      </c>
      <c r="E331" t="s" s="17">
        <v>1310</v>
      </c>
      <c r="F331" s="18"/>
      <c r="G331" s="19">
        <v>2</v>
      </c>
      <c r="H331" t="s" s="20">
        <v>25</v>
      </c>
      <c r="I331" t="s" s="17">
        <v>26</v>
      </c>
      <c r="J331" t="s" s="17">
        <v>1259</v>
      </c>
      <c r="K331" s="18"/>
      <c r="L331" s="18"/>
      <c r="M331" s="18"/>
      <c r="N331" s="18"/>
      <c r="O331" s="21"/>
      <c r="P331" s="21"/>
      <c r="Q331" s="21"/>
      <c r="R331" s="21"/>
      <c r="S331" s="21"/>
      <c r="T331" s="21"/>
    </row>
    <row r="332" ht="45" customHeight="1">
      <c r="A332" t="s" s="15">
        <v>1311</v>
      </c>
      <c r="B332" s="16">
        <v>2023</v>
      </c>
      <c r="C332" t="s" s="15">
        <v>1312</v>
      </c>
      <c r="D332" t="s" s="17">
        <v>1313</v>
      </c>
      <c r="E332" t="s" s="17">
        <v>1314</v>
      </c>
      <c r="F332" s="18"/>
      <c r="G332" s="19">
        <v>3</v>
      </c>
      <c r="H332" t="s" s="20">
        <v>46</v>
      </c>
      <c r="I332" t="s" s="17">
        <v>26</v>
      </c>
      <c r="J332" t="s" s="17">
        <v>93</v>
      </c>
      <c r="K332" t="s" s="17">
        <v>1055</v>
      </c>
      <c r="L332" s="18"/>
      <c r="M332" s="18"/>
      <c r="N332" s="18"/>
      <c r="O332" s="21"/>
      <c r="P332" s="21"/>
      <c r="Q332" s="21"/>
      <c r="R332" s="21"/>
      <c r="S332" s="21"/>
      <c r="T332" s="21"/>
    </row>
    <row r="333" ht="30" customHeight="1">
      <c r="A333" t="s" s="15">
        <v>1315</v>
      </c>
      <c r="B333" s="16">
        <v>2016</v>
      </c>
      <c r="C333" t="s" s="15">
        <v>1316</v>
      </c>
      <c r="D333" t="s" s="17">
        <v>1317</v>
      </c>
      <c r="E333" t="s" s="17">
        <v>1318</v>
      </c>
      <c r="F333" s="18"/>
      <c r="G333" s="19">
        <v>3</v>
      </c>
      <c r="H333" t="s" s="20">
        <v>46</v>
      </c>
      <c r="I333" t="s" s="17">
        <v>26</v>
      </c>
      <c r="J333" t="s" s="17">
        <v>93</v>
      </c>
      <c r="K333" s="18"/>
      <c r="L333" s="18"/>
      <c r="M333" s="18"/>
      <c r="N333" s="18"/>
      <c r="O333" s="21"/>
      <c r="P333" s="21"/>
      <c r="Q333" s="21"/>
      <c r="R333" s="21"/>
      <c r="S333" s="21"/>
      <c r="T333" s="21"/>
    </row>
    <row r="334" ht="30" customHeight="1">
      <c r="A334" t="s" s="15">
        <v>1319</v>
      </c>
      <c r="B334" s="16">
        <v>2020</v>
      </c>
      <c r="C334" t="s" s="15">
        <v>1316</v>
      </c>
      <c r="D334" t="s" s="17">
        <v>1320</v>
      </c>
      <c r="E334" t="s" s="17">
        <v>1321</v>
      </c>
      <c r="F334" s="18"/>
      <c r="G334" s="19">
        <v>3</v>
      </c>
      <c r="H334" t="s" s="20">
        <v>46</v>
      </c>
      <c r="I334" t="s" s="17">
        <v>26</v>
      </c>
      <c r="J334" t="s" s="17">
        <v>93</v>
      </c>
      <c r="K334" s="18"/>
      <c r="L334" s="18"/>
      <c r="M334" s="18"/>
      <c r="N334" s="18"/>
      <c r="O334" s="21"/>
      <c r="P334" s="21"/>
      <c r="Q334" s="21"/>
      <c r="R334" s="21"/>
      <c r="S334" s="21"/>
      <c r="T334" s="21"/>
    </row>
    <row r="335" ht="45" customHeight="1">
      <c r="A335" t="s" s="15">
        <v>1322</v>
      </c>
      <c r="B335" s="16">
        <v>2017</v>
      </c>
      <c r="C335" t="s" s="15">
        <v>1323</v>
      </c>
      <c r="D335" t="s" s="17">
        <v>1324</v>
      </c>
      <c r="E335" t="s" s="17">
        <v>1325</v>
      </c>
      <c r="F335" s="18"/>
      <c r="G335" s="19">
        <v>2</v>
      </c>
      <c r="H335" t="s" s="20">
        <v>25</v>
      </c>
      <c r="I335" t="s" s="17">
        <v>26</v>
      </c>
      <c r="J335" t="s" s="17">
        <v>1326</v>
      </c>
      <c r="K335" t="s" s="17">
        <v>1327</v>
      </c>
      <c r="L335" s="18"/>
      <c r="M335" s="18"/>
      <c r="N335" s="18"/>
      <c r="O335" s="21"/>
      <c r="P335" s="21"/>
      <c r="Q335" s="21"/>
      <c r="R335" s="21"/>
      <c r="S335" s="21"/>
      <c r="T335" s="21"/>
    </row>
    <row r="336" ht="30" customHeight="1">
      <c r="A336" t="s" s="15">
        <v>1328</v>
      </c>
      <c r="B336" s="16">
        <v>2017</v>
      </c>
      <c r="C336" t="s" s="15">
        <v>1329</v>
      </c>
      <c r="D336" t="s" s="17">
        <v>1330</v>
      </c>
      <c r="E336" t="s" s="17">
        <v>1331</v>
      </c>
      <c r="F336" t="s" s="17">
        <v>1332</v>
      </c>
      <c r="G336" s="19">
        <v>2</v>
      </c>
      <c r="H336" t="s" s="20">
        <v>25</v>
      </c>
      <c r="I336" t="s" s="17">
        <v>42</v>
      </c>
      <c r="J336" s="18"/>
      <c r="K336" t="s" s="17">
        <v>43</v>
      </c>
      <c r="L336" t="s" s="17">
        <v>42</v>
      </c>
      <c r="M336" t="s" s="17">
        <v>212</v>
      </c>
      <c r="N336" s="18"/>
      <c r="O336" t="s" s="20">
        <v>1333</v>
      </c>
      <c r="P336" t="s" s="20">
        <v>46</v>
      </c>
      <c r="Q336" s="21"/>
      <c r="R336" s="21"/>
      <c r="S336" s="21"/>
      <c r="T336" s="21"/>
    </row>
    <row r="337" ht="30" customHeight="1">
      <c r="A337" t="s" s="15">
        <v>1334</v>
      </c>
      <c r="B337" s="16">
        <v>2022</v>
      </c>
      <c r="C337" t="s" s="15">
        <v>1329</v>
      </c>
      <c r="D337" t="s" s="17">
        <v>1335</v>
      </c>
      <c r="E337" t="s" s="17">
        <v>1336</v>
      </c>
      <c r="F337" t="s" s="17">
        <v>1337</v>
      </c>
      <c r="G337" s="19">
        <v>2</v>
      </c>
      <c r="H337" t="s" s="20">
        <v>25</v>
      </c>
      <c r="I337" t="s" s="17">
        <v>42</v>
      </c>
      <c r="J337" s="18"/>
      <c r="K337" t="s" s="17">
        <v>43</v>
      </c>
      <c r="L337" t="s" s="17">
        <v>26</v>
      </c>
      <c r="M337" s="18"/>
      <c r="N337" t="s" s="17">
        <v>151</v>
      </c>
      <c r="O337" t="s" s="20">
        <v>1338</v>
      </c>
      <c r="P337" s="21"/>
      <c r="Q337" s="21"/>
      <c r="R337" s="21"/>
      <c r="S337" s="21"/>
      <c r="T337" s="21"/>
    </row>
    <row r="338" ht="30" customHeight="1">
      <c r="A338" t="s" s="15">
        <v>1339</v>
      </c>
      <c r="B338" s="16">
        <v>2011</v>
      </c>
      <c r="C338" t="s" s="15">
        <v>1340</v>
      </c>
      <c r="D338" t="s" s="17">
        <v>1341</v>
      </c>
      <c r="E338" s="18"/>
      <c r="F338" s="18"/>
      <c r="G338" s="19">
        <v>2</v>
      </c>
      <c r="H338" t="s" s="20">
        <v>25</v>
      </c>
      <c r="I338" t="s" s="17">
        <v>26</v>
      </c>
      <c r="J338" t="s" s="17">
        <v>436</v>
      </c>
      <c r="K338" s="18"/>
      <c r="L338" s="18"/>
      <c r="M338" s="18"/>
      <c r="N338" s="18"/>
      <c r="O338" s="21"/>
      <c r="P338" s="21"/>
      <c r="Q338" s="21"/>
      <c r="R338" s="21"/>
      <c r="S338" s="21"/>
      <c r="T338" s="21"/>
    </row>
    <row r="339" ht="39.55" customHeight="1">
      <c r="A339" t="s" s="15">
        <v>1342</v>
      </c>
      <c r="B339" s="16">
        <v>2013</v>
      </c>
      <c r="C339" t="s" s="15">
        <v>1343</v>
      </c>
      <c r="D339" t="s" s="17">
        <v>1344</v>
      </c>
      <c r="E339" t="s" s="17">
        <v>1345</v>
      </c>
      <c r="F339" s="18"/>
      <c r="G339" s="19">
        <v>3</v>
      </c>
      <c r="H339" t="s" s="20">
        <v>46</v>
      </c>
      <c r="I339" t="s" s="17">
        <v>42</v>
      </c>
      <c r="J339" t="s" s="17">
        <v>660</v>
      </c>
      <c r="K339" t="s" s="17">
        <v>1346</v>
      </c>
      <c r="L339" s="18"/>
      <c r="M339" s="18"/>
      <c r="N339" s="18"/>
      <c r="O339" s="21"/>
      <c r="P339" s="21"/>
      <c r="Q339" s="21"/>
      <c r="R339" s="21"/>
      <c r="S339" s="21"/>
      <c r="T339" s="21"/>
    </row>
    <row r="340" ht="30" customHeight="1">
      <c r="A340" t="s" s="15">
        <v>1347</v>
      </c>
      <c r="B340" s="16">
        <v>2007</v>
      </c>
      <c r="C340" t="s" s="15">
        <v>1348</v>
      </c>
      <c r="D340" t="s" s="17">
        <v>1349</v>
      </c>
      <c r="E340" t="s" s="17">
        <v>1350</v>
      </c>
      <c r="F340" s="18"/>
      <c r="G340" s="19">
        <v>2</v>
      </c>
      <c r="H340" t="s" s="20">
        <v>25</v>
      </c>
      <c r="I340" t="s" s="17">
        <v>26</v>
      </c>
      <c r="J340" t="s" s="17">
        <v>31</v>
      </c>
      <c r="K340" s="18"/>
      <c r="L340" s="18"/>
      <c r="M340" s="18"/>
      <c r="N340" s="18"/>
      <c r="O340" s="21"/>
      <c r="P340" s="21"/>
      <c r="Q340" s="21"/>
      <c r="R340" s="21"/>
      <c r="S340" s="21"/>
      <c r="T340" s="21"/>
    </row>
    <row r="341" ht="30" customHeight="1">
      <c r="A341" t="s" s="15">
        <v>1351</v>
      </c>
      <c r="B341" s="16">
        <v>2015</v>
      </c>
      <c r="C341" t="s" s="15">
        <v>1352</v>
      </c>
      <c r="D341" t="s" s="17">
        <v>1353</v>
      </c>
      <c r="E341" t="s" s="17">
        <v>1354</v>
      </c>
      <c r="F341" s="18"/>
      <c r="G341" s="19">
        <v>2</v>
      </c>
      <c r="H341" t="s" s="20">
        <v>25</v>
      </c>
      <c r="I341" t="s" s="17">
        <v>26</v>
      </c>
      <c r="J341" t="s" s="17">
        <v>93</v>
      </c>
      <c r="K341" s="18"/>
      <c r="L341" s="18"/>
      <c r="M341" s="18"/>
      <c r="N341" s="18"/>
      <c r="O341" s="21"/>
      <c r="P341" s="21"/>
      <c r="Q341" s="21"/>
      <c r="R341" s="21"/>
      <c r="S341" s="21"/>
      <c r="T341" s="21"/>
    </row>
    <row r="342" ht="26.55" customHeight="1">
      <c r="A342" t="s" s="15">
        <v>1355</v>
      </c>
      <c r="B342" s="16">
        <v>2015</v>
      </c>
      <c r="C342" t="s" s="15">
        <v>1356</v>
      </c>
      <c r="D342" t="s" s="17">
        <v>1357</v>
      </c>
      <c r="E342" t="s" s="17">
        <v>1358</v>
      </c>
      <c r="F342" s="18"/>
      <c r="G342" s="19">
        <v>2</v>
      </c>
      <c r="H342" t="s" s="20">
        <v>25</v>
      </c>
      <c r="I342" t="s" s="17">
        <v>26</v>
      </c>
      <c r="J342" t="s" s="17">
        <v>1281</v>
      </c>
      <c r="K342" s="18"/>
      <c r="L342" s="18"/>
      <c r="M342" s="18"/>
      <c r="N342" s="18"/>
      <c r="O342" s="21"/>
      <c r="P342" s="21"/>
      <c r="Q342" s="21"/>
      <c r="R342" s="21"/>
      <c r="S342" s="21"/>
      <c r="T342" s="21"/>
    </row>
    <row r="343" ht="39.55" customHeight="1">
      <c r="A343" t="s" s="15">
        <v>1359</v>
      </c>
      <c r="B343" s="16">
        <v>2014</v>
      </c>
      <c r="C343" t="s" s="15">
        <v>1360</v>
      </c>
      <c r="D343" t="s" s="17">
        <v>1361</v>
      </c>
      <c r="E343" t="s" s="17">
        <v>1362</v>
      </c>
      <c r="F343" s="18"/>
      <c r="G343" s="19">
        <v>3</v>
      </c>
      <c r="H343" t="s" s="20">
        <v>46</v>
      </c>
      <c r="I343" t="s" s="17">
        <v>26</v>
      </c>
      <c r="J343" t="s" s="17">
        <v>27</v>
      </c>
      <c r="K343" t="s" s="17">
        <v>1363</v>
      </c>
      <c r="L343" s="18"/>
      <c r="M343" s="18"/>
      <c r="N343" s="18"/>
      <c r="O343" s="21"/>
      <c r="P343" s="21"/>
      <c r="Q343" s="21"/>
      <c r="R343" s="21"/>
      <c r="S343" s="21"/>
      <c r="T343" s="21"/>
    </row>
    <row r="344" ht="26.55" customHeight="1">
      <c r="A344" t="s" s="15">
        <v>1364</v>
      </c>
      <c r="B344" s="16">
        <v>2006</v>
      </c>
      <c r="C344" t="s" s="15">
        <v>1365</v>
      </c>
      <c r="D344" t="s" s="17">
        <v>1366</v>
      </c>
      <c r="E344" t="s" s="17">
        <v>1367</v>
      </c>
      <c r="F344" s="18"/>
      <c r="G344" s="19">
        <v>2</v>
      </c>
      <c r="H344" t="s" s="20">
        <v>25</v>
      </c>
      <c r="I344" t="s" s="17">
        <v>26</v>
      </c>
      <c r="J344" t="s" s="17">
        <v>848</v>
      </c>
      <c r="K344" s="18"/>
      <c r="L344" s="18"/>
      <c r="M344" s="18"/>
      <c r="N344" s="18"/>
      <c r="O344" s="21"/>
      <c r="P344" s="21"/>
      <c r="Q344" s="21"/>
      <c r="R344" s="21"/>
      <c r="S344" s="21"/>
      <c r="T344" s="21"/>
    </row>
    <row r="345" ht="30" customHeight="1">
      <c r="A345" t="s" s="15">
        <v>1368</v>
      </c>
      <c r="B345" s="16">
        <v>2007</v>
      </c>
      <c r="C345" t="s" s="15">
        <v>1365</v>
      </c>
      <c r="D345" t="s" s="17">
        <v>1369</v>
      </c>
      <c r="E345" s="18"/>
      <c r="F345" s="18"/>
      <c r="G345" s="19">
        <v>2</v>
      </c>
      <c r="H345" t="s" s="20">
        <v>25</v>
      </c>
      <c r="I345" t="s" s="17">
        <v>26</v>
      </c>
      <c r="J345" t="s" s="17">
        <v>31</v>
      </c>
      <c r="K345" s="18"/>
      <c r="L345" s="18"/>
      <c r="M345" s="18"/>
      <c r="N345" s="18"/>
      <c r="O345" s="21"/>
      <c r="P345" s="21"/>
      <c r="Q345" s="21"/>
      <c r="R345" s="21"/>
      <c r="S345" s="21"/>
      <c r="T345" s="21"/>
    </row>
    <row r="346" ht="39.55" customHeight="1">
      <c r="A346" t="s" s="15">
        <v>1370</v>
      </c>
      <c r="B346" s="16">
        <v>2014</v>
      </c>
      <c r="C346" t="s" s="15">
        <v>1365</v>
      </c>
      <c r="D346" t="s" s="17">
        <v>1371</v>
      </c>
      <c r="E346" t="s" s="17">
        <v>1372</v>
      </c>
      <c r="F346" s="18"/>
      <c r="G346" s="19">
        <v>3</v>
      </c>
      <c r="H346" t="s" s="20">
        <v>46</v>
      </c>
      <c r="I346" t="s" s="17">
        <v>26</v>
      </c>
      <c r="J346" t="s" s="17">
        <v>93</v>
      </c>
      <c r="K346" s="18"/>
      <c r="L346" s="18"/>
      <c r="M346" s="18"/>
      <c r="N346" s="18"/>
      <c r="O346" s="21"/>
      <c r="P346" s="21"/>
      <c r="Q346" s="21"/>
      <c r="R346" s="21"/>
      <c r="S346" s="21"/>
      <c r="T346" s="21"/>
    </row>
    <row r="347" ht="26.55" customHeight="1">
      <c r="A347" t="s" s="15">
        <v>1373</v>
      </c>
      <c r="B347" s="16">
        <v>2013</v>
      </c>
      <c r="C347" t="s" s="15">
        <v>1374</v>
      </c>
      <c r="D347" t="s" s="17">
        <v>1375</v>
      </c>
      <c r="E347" t="s" s="17">
        <v>1376</v>
      </c>
      <c r="F347" s="18"/>
      <c r="G347" s="19">
        <v>2</v>
      </c>
      <c r="H347" t="s" s="20">
        <v>25</v>
      </c>
      <c r="I347" t="s" s="17">
        <v>26</v>
      </c>
      <c r="J347" t="s" s="17">
        <v>1259</v>
      </c>
      <c r="K347" s="18"/>
      <c r="L347" s="18"/>
      <c r="M347" s="18"/>
      <c r="N347" s="18"/>
      <c r="O347" s="21"/>
      <c r="P347" s="21"/>
      <c r="Q347" s="21"/>
      <c r="R347" s="21"/>
      <c r="S347" s="21"/>
      <c r="T347" s="21"/>
    </row>
    <row r="348" ht="30" customHeight="1">
      <c r="A348" t="s" s="15">
        <v>1377</v>
      </c>
      <c r="B348" s="16">
        <v>2012</v>
      </c>
      <c r="C348" t="s" s="15">
        <v>1378</v>
      </c>
      <c r="D348" t="s" s="17">
        <v>1379</v>
      </c>
      <c r="E348" t="s" s="17">
        <v>1380</v>
      </c>
      <c r="F348" s="18"/>
      <c r="G348" s="19">
        <v>2</v>
      </c>
      <c r="H348" t="s" s="20">
        <v>25</v>
      </c>
      <c r="I348" t="s" s="17">
        <v>26</v>
      </c>
      <c r="J348" t="s" s="17">
        <v>848</v>
      </c>
      <c r="K348" t="s" s="17">
        <v>1381</v>
      </c>
      <c r="L348" s="18"/>
      <c r="M348" s="18"/>
      <c r="N348" s="18"/>
      <c r="O348" s="21"/>
      <c r="P348" s="21"/>
      <c r="Q348" s="21"/>
      <c r="R348" s="21"/>
      <c r="S348" s="21"/>
      <c r="T348" s="21"/>
    </row>
    <row r="349" ht="26.55" customHeight="1">
      <c r="A349" t="s" s="15">
        <v>1382</v>
      </c>
      <c r="B349" s="16">
        <v>2019</v>
      </c>
      <c r="C349" t="s" s="15">
        <v>1378</v>
      </c>
      <c r="D349" t="s" s="17">
        <v>1383</v>
      </c>
      <c r="E349" t="s" s="17">
        <v>1384</v>
      </c>
      <c r="F349" s="18"/>
      <c r="G349" s="19">
        <v>2</v>
      </c>
      <c r="H349" t="s" s="20">
        <v>25</v>
      </c>
      <c r="I349" t="s" s="17">
        <v>26</v>
      </c>
      <c r="J349" t="s" s="17">
        <v>1259</v>
      </c>
      <c r="K349" s="18"/>
      <c r="L349" s="18"/>
      <c r="M349" s="18"/>
      <c r="N349" s="18"/>
      <c r="O349" s="21"/>
      <c r="P349" s="21"/>
      <c r="Q349" s="21"/>
      <c r="R349" s="21"/>
      <c r="S349" s="21"/>
      <c r="T349" s="21"/>
    </row>
    <row r="350" ht="30" customHeight="1">
      <c r="A350" t="s" s="15">
        <v>1385</v>
      </c>
      <c r="B350" s="16">
        <v>2018</v>
      </c>
      <c r="C350" t="s" s="15">
        <v>1386</v>
      </c>
      <c r="D350" t="s" s="17">
        <v>1387</v>
      </c>
      <c r="E350" t="s" s="17">
        <v>1388</v>
      </c>
      <c r="F350" s="18"/>
      <c r="G350" s="19">
        <v>2</v>
      </c>
      <c r="H350" t="s" s="20">
        <v>25</v>
      </c>
      <c r="I350" t="s" s="17">
        <v>26</v>
      </c>
      <c r="J350" t="s" s="17">
        <v>1281</v>
      </c>
      <c r="K350" s="18"/>
      <c r="L350" s="18"/>
      <c r="M350" s="18"/>
      <c r="N350" s="18"/>
      <c r="O350" s="21"/>
      <c r="P350" s="21"/>
      <c r="Q350" s="21"/>
      <c r="R350" s="21"/>
      <c r="S350" s="21"/>
      <c r="T350" s="21"/>
    </row>
    <row r="351" ht="30" customHeight="1">
      <c r="A351" t="s" s="15">
        <v>1389</v>
      </c>
      <c r="B351" s="16">
        <v>2022</v>
      </c>
      <c r="C351" t="s" s="15">
        <v>1386</v>
      </c>
      <c r="D351" t="s" s="17">
        <v>1390</v>
      </c>
      <c r="E351" t="s" s="17">
        <v>1391</v>
      </c>
      <c r="F351" s="18"/>
      <c r="G351" s="19">
        <v>2</v>
      </c>
      <c r="H351" t="s" s="20">
        <v>25</v>
      </c>
      <c r="I351" t="s" s="17">
        <v>26</v>
      </c>
      <c r="J351" t="s" s="17">
        <v>1281</v>
      </c>
      <c r="K351" s="18"/>
      <c r="L351" s="18"/>
      <c r="M351" s="18"/>
      <c r="N351" s="18"/>
      <c r="O351" s="21"/>
      <c r="P351" s="21"/>
      <c r="Q351" s="21"/>
      <c r="R351" s="21"/>
      <c r="S351" s="21"/>
      <c r="T351" s="21"/>
    </row>
    <row r="352" ht="30" customHeight="1">
      <c r="A352" t="s" s="15">
        <v>1392</v>
      </c>
      <c r="B352" s="16">
        <v>2017</v>
      </c>
      <c r="C352" t="s" s="15">
        <v>1393</v>
      </c>
      <c r="D352" t="s" s="17">
        <v>1394</v>
      </c>
      <c r="E352" t="s" s="17">
        <v>1395</v>
      </c>
      <c r="F352" s="18"/>
      <c r="G352" s="19">
        <v>2</v>
      </c>
      <c r="H352" t="s" s="20">
        <v>25</v>
      </c>
      <c r="I352" t="s" s="17">
        <v>26</v>
      </c>
      <c r="J352" t="s" s="17">
        <v>885</v>
      </c>
      <c r="K352" t="s" s="17">
        <v>886</v>
      </c>
      <c r="L352" t="s" s="17">
        <v>26</v>
      </c>
      <c r="M352" s="18"/>
      <c r="N352" t="s" s="17">
        <v>662</v>
      </c>
      <c r="O352" t="s" s="20">
        <v>886</v>
      </c>
      <c r="P352" s="21"/>
      <c r="Q352" s="21"/>
      <c r="R352" s="21"/>
      <c r="S352" s="21"/>
      <c r="T352" s="21"/>
    </row>
    <row r="353" ht="26.55" customHeight="1">
      <c r="A353" t="s" s="15">
        <v>1396</v>
      </c>
      <c r="B353" s="16">
        <v>2005</v>
      </c>
      <c r="C353" t="s" s="15">
        <v>1397</v>
      </c>
      <c r="D353" t="s" s="17">
        <v>1398</v>
      </c>
      <c r="E353" s="18"/>
      <c r="F353" s="18"/>
      <c r="G353" s="19">
        <v>2</v>
      </c>
      <c r="H353" t="s" s="20">
        <v>25</v>
      </c>
      <c r="I353" t="s" s="17">
        <v>26</v>
      </c>
      <c r="J353" t="s" s="17">
        <v>1259</v>
      </c>
      <c r="K353" s="18"/>
      <c r="L353" s="18"/>
      <c r="M353" s="18"/>
      <c r="N353" s="18"/>
      <c r="O353" s="21"/>
      <c r="P353" s="21"/>
      <c r="Q353" s="21"/>
      <c r="R353" s="21"/>
      <c r="S353" s="21"/>
      <c r="T353" s="21"/>
    </row>
    <row r="354" ht="30" customHeight="1">
      <c r="A354" t="s" s="15">
        <v>1399</v>
      </c>
      <c r="B354" s="16">
        <v>2021</v>
      </c>
      <c r="C354" t="s" s="15">
        <v>1397</v>
      </c>
      <c r="D354" t="s" s="17">
        <v>1400</v>
      </c>
      <c r="E354" t="s" s="17">
        <v>1401</v>
      </c>
      <c r="F354" s="18"/>
      <c r="G354" s="19">
        <v>3</v>
      </c>
      <c r="H354" t="s" s="20">
        <v>46</v>
      </c>
      <c r="I354" t="s" s="17">
        <v>42</v>
      </c>
      <c r="J354" t="s" s="17">
        <v>31</v>
      </c>
      <c r="K354" t="s" s="17">
        <v>1402</v>
      </c>
      <c r="L354" s="18"/>
      <c r="M354" s="18"/>
      <c r="N354" s="18"/>
      <c r="O354" s="21"/>
      <c r="P354" s="21"/>
      <c r="Q354" s="21"/>
      <c r="R354" s="21"/>
      <c r="S354" s="21"/>
      <c r="T354" s="21"/>
    </row>
    <row r="355" ht="30" customHeight="1">
      <c r="A355" t="s" s="15">
        <v>1403</v>
      </c>
      <c r="B355" s="16">
        <v>2020</v>
      </c>
      <c r="C355" t="s" s="15">
        <v>1404</v>
      </c>
      <c r="D355" t="s" s="17">
        <v>1405</v>
      </c>
      <c r="E355" t="s" s="17">
        <v>1406</v>
      </c>
      <c r="F355" s="18"/>
      <c r="G355" s="19">
        <v>3</v>
      </c>
      <c r="H355" t="s" s="20">
        <v>46</v>
      </c>
      <c r="I355" t="s" s="17">
        <v>42</v>
      </c>
      <c r="J355" t="s" s="17">
        <v>1407</v>
      </c>
      <c r="K355" t="s" s="17">
        <v>43</v>
      </c>
      <c r="L355" t="s" s="17">
        <v>42</v>
      </c>
      <c r="M355" t="s" s="17">
        <v>505</v>
      </c>
      <c r="N355" s="18"/>
      <c r="O355" s="21"/>
      <c r="P355" t="s" s="20">
        <v>46</v>
      </c>
      <c r="Q355" t="s" s="20">
        <v>277</v>
      </c>
      <c r="R355" s="21"/>
      <c r="S355" t="s" s="20">
        <v>47</v>
      </c>
      <c r="T355" t="s" s="20">
        <v>1408</v>
      </c>
    </row>
    <row r="356" ht="30" customHeight="1">
      <c r="A356" t="s" s="15">
        <v>1409</v>
      </c>
      <c r="B356" s="16">
        <v>2022</v>
      </c>
      <c r="C356" t="s" s="15">
        <v>1404</v>
      </c>
      <c r="D356" t="s" s="17">
        <v>1410</v>
      </c>
      <c r="E356" t="s" s="17">
        <v>1411</v>
      </c>
      <c r="F356" s="18"/>
      <c r="G356" s="19">
        <v>3</v>
      </c>
      <c r="H356" t="s" s="20">
        <v>46</v>
      </c>
      <c r="I356" t="s" s="17">
        <v>42</v>
      </c>
      <c r="J356" s="18"/>
      <c r="K356" t="s" s="17">
        <v>43</v>
      </c>
      <c r="L356" t="s" s="17">
        <v>42</v>
      </c>
      <c r="M356" t="s" s="17">
        <v>44</v>
      </c>
      <c r="N356" s="18"/>
      <c r="O356" s="21"/>
      <c r="P356" t="s" s="20">
        <v>25</v>
      </c>
      <c r="Q356" s="21"/>
      <c r="R356" s="21"/>
      <c r="S356" s="21"/>
      <c r="T356" s="21"/>
    </row>
    <row r="357" ht="39.55" customHeight="1">
      <c r="A357" t="s" s="15">
        <v>1412</v>
      </c>
      <c r="B357" s="16">
        <v>2017</v>
      </c>
      <c r="C357" t="s" s="15">
        <v>1413</v>
      </c>
      <c r="D357" t="s" s="17">
        <v>1414</v>
      </c>
      <c r="E357" t="s" s="17">
        <v>1415</v>
      </c>
      <c r="F357" s="18"/>
      <c r="G357" s="19">
        <v>2</v>
      </c>
      <c r="H357" t="s" s="20">
        <v>25</v>
      </c>
      <c r="I357" t="s" s="17">
        <v>42</v>
      </c>
      <c r="J357" s="18"/>
      <c r="K357" t="s" s="17">
        <v>43</v>
      </c>
      <c r="L357" t="s" s="17">
        <v>42</v>
      </c>
      <c r="M357" t="s" s="17">
        <v>212</v>
      </c>
      <c r="N357" s="18"/>
      <c r="O357" s="21"/>
      <c r="P357" t="s" s="20">
        <v>46</v>
      </c>
      <c r="Q357" s="21"/>
      <c r="R357" s="21"/>
      <c r="S357" s="21"/>
      <c r="T357" s="21"/>
    </row>
    <row r="358" ht="39.55" customHeight="1">
      <c r="A358" t="s" s="15">
        <v>1416</v>
      </c>
      <c r="B358" s="16">
        <v>2022</v>
      </c>
      <c r="C358" t="s" s="15">
        <v>1417</v>
      </c>
      <c r="D358" t="s" s="17">
        <v>1418</v>
      </c>
      <c r="E358" t="s" s="17">
        <v>1419</v>
      </c>
      <c r="F358" s="18"/>
      <c r="G358" s="19">
        <v>3</v>
      </c>
      <c r="H358" t="s" s="20">
        <v>46</v>
      </c>
      <c r="I358" t="s" s="17">
        <v>26</v>
      </c>
      <c r="J358" t="s" s="17">
        <v>1213</v>
      </c>
      <c r="K358" s="18"/>
      <c r="L358" s="18"/>
      <c r="M358" s="18"/>
      <c r="N358" s="18"/>
      <c r="O358" s="21"/>
      <c r="P358" s="21"/>
      <c r="Q358" s="21"/>
      <c r="R358" s="21"/>
      <c r="S358" s="21"/>
      <c r="T358" s="21"/>
    </row>
    <row r="359" ht="30" customHeight="1">
      <c r="A359" t="s" s="15">
        <v>1420</v>
      </c>
      <c r="B359" s="16">
        <v>2023</v>
      </c>
      <c r="C359" t="s" s="15">
        <v>1417</v>
      </c>
      <c r="D359" t="s" s="17">
        <v>1421</v>
      </c>
      <c r="E359" t="s" s="17">
        <v>1422</v>
      </c>
      <c r="F359" s="18"/>
      <c r="G359" s="19">
        <v>2</v>
      </c>
      <c r="H359" t="s" s="20">
        <v>25</v>
      </c>
      <c r="I359" t="s" s="17">
        <v>42</v>
      </c>
      <c r="J359" s="18"/>
      <c r="K359" t="s" s="17">
        <v>43</v>
      </c>
      <c r="L359" t="s" s="17">
        <v>26</v>
      </c>
      <c r="M359" t="s" s="17">
        <v>44</v>
      </c>
      <c r="N359" t="s" s="17">
        <v>521</v>
      </c>
      <c r="O359" s="21"/>
      <c r="P359" t="s" s="20">
        <v>46</v>
      </c>
      <c r="Q359" t="s" s="20">
        <v>277</v>
      </c>
      <c r="R359" s="21"/>
      <c r="S359" s="21"/>
      <c r="T359" s="21"/>
    </row>
    <row r="360" ht="30" customHeight="1">
      <c r="A360" t="s" s="15">
        <v>1423</v>
      </c>
      <c r="B360" s="16">
        <v>2021</v>
      </c>
      <c r="C360" t="s" s="15">
        <v>1424</v>
      </c>
      <c r="D360" t="s" s="17">
        <v>1425</v>
      </c>
      <c r="E360" s="18"/>
      <c r="F360" s="18"/>
      <c r="G360" s="19">
        <v>2</v>
      </c>
      <c r="H360" t="s" s="20">
        <v>25</v>
      </c>
      <c r="I360" t="s" s="17">
        <v>26</v>
      </c>
      <c r="J360" t="s" s="17">
        <v>1303</v>
      </c>
      <c r="K360" s="18"/>
      <c r="L360" s="18"/>
      <c r="M360" s="18"/>
      <c r="N360" s="18"/>
      <c r="O360" s="21"/>
      <c r="P360" s="21"/>
      <c r="Q360" s="21"/>
      <c r="R360" s="21"/>
      <c r="S360" s="21"/>
      <c r="T360" s="21"/>
    </row>
    <row r="361" ht="30" customHeight="1">
      <c r="A361" t="s" s="15">
        <v>1426</v>
      </c>
      <c r="B361" s="16">
        <v>2012</v>
      </c>
      <c r="C361" t="s" s="15">
        <v>1427</v>
      </c>
      <c r="D361" t="s" s="17">
        <v>1428</v>
      </c>
      <c r="E361" t="s" s="17">
        <v>1429</v>
      </c>
      <c r="F361" s="18"/>
      <c r="G361" s="19">
        <v>3</v>
      </c>
      <c r="H361" t="s" s="20">
        <v>46</v>
      </c>
      <c r="I361" t="s" s="17">
        <v>26</v>
      </c>
      <c r="J361" t="s" s="17">
        <v>31</v>
      </c>
      <c r="K361" s="18"/>
      <c r="L361" s="18"/>
      <c r="M361" s="18"/>
      <c r="N361" s="18"/>
      <c r="O361" s="21"/>
      <c r="P361" s="21"/>
      <c r="Q361" s="21"/>
      <c r="R361" s="21"/>
      <c r="S361" s="21"/>
      <c r="T361" s="21"/>
    </row>
    <row r="362" ht="30" customHeight="1">
      <c r="A362" t="s" s="15">
        <v>1430</v>
      </c>
      <c r="B362" s="16">
        <v>2008</v>
      </c>
      <c r="C362" t="s" s="15">
        <v>1431</v>
      </c>
      <c r="D362" t="s" s="17">
        <v>1432</v>
      </c>
      <c r="E362" t="s" s="17">
        <v>1433</v>
      </c>
      <c r="F362" s="18"/>
      <c r="G362" s="19">
        <v>2</v>
      </c>
      <c r="H362" t="s" s="20">
        <v>25</v>
      </c>
      <c r="I362" t="s" s="17">
        <v>26</v>
      </c>
      <c r="J362" t="s" s="17">
        <v>1259</v>
      </c>
      <c r="K362" s="18"/>
      <c r="L362" s="18"/>
      <c r="M362" s="18"/>
      <c r="N362" s="18"/>
      <c r="O362" s="21"/>
      <c r="P362" s="21"/>
      <c r="Q362" s="21"/>
      <c r="R362" s="21"/>
      <c r="S362" s="21"/>
      <c r="T362" s="21"/>
    </row>
    <row r="363" ht="30" customHeight="1">
      <c r="A363" t="s" s="15">
        <v>1434</v>
      </c>
      <c r="B363" s="16">
        <v>2006</v>
      </c>
      <c r="C363" t="s" s="15">
        <v>1435</v>
      </c>
      <c r="D363" t="s" s="17">
        <v>1436</v>
      </c>
      <c r="E363" t="s" s="17">
        <v>1437</v>
      </c>
      <c r="F363" s="18"/>
      <c r="G363" s="19">
        <v>2</v>
      </c>
      <c r="H363" t="s" s="20">
        <v>25</v>
      </c>
      <c r="I363" t="s" s="17">
        <v>26</v>
      </c>
      <c r="J363" t="s" s="17">
        <v>1259</v>
      </c>
      <c r="K363" s="18"/>
      <c r="L363" s="18"/>
      <c r="M363" s="18"/>
      <c r="N363" s="18"/>
      <c r="O363" s="21"/>
      <c r="P363" s="21"/>
      <c r="Q363" s="21"/>
      <c r="R363" s="21"/>
      <c r="S363" s="21"/>
      <c r="T363" s="21"/>
    </row>
    <row r="364" ht="39.55" customHeight="1">
      <c r="A364" t="s" s="15">
        <v>1438</v>
      </c>
      <c r="B364" s="16">
        <v>2015</v>
      </c>
      <c r="C364" t="s" s="15">
        <v>1439</v>
      </c>
      <c r="D364" t="s" s="17">
        <v>1440</v>
      </c>
      <c r="E364" t="s" s="17">
        <v>1441</v>
      </c>
      <c r="F364" s="18"/>
      <c r="G364" s="19">
        <v>2</v>
      </c>
      <c r="H364" t="s" s="20">
        <v>25</v>
      </c>
      <c r="I364" t="s" s="17">
        <v>26</v>
      </c>
      <c r="J364" t="s" s="17">
        <v>27</v>
      </c>
      <c r="K364" s="18"/>
      <c r="L364" s="18"/>
      <c r="M364" s="18"/>
      <c r="N364" s="18"/>
      <c r="O364" s="21"/>
      <c r="P364" s="21"/>
      <c r="Q364" s="21"/>
      <c r="R364" s="21"/>
      <c r="S364" s="21"/>
      <c r="T364" s="21"/>
    </row>
    <row r="365" ht="30" customHeight="1">
      <c r="A365" t="s" s="15">
        <v>1442</v>
      </c>
      <c r="B365" s="16">
        <v>2015</v>
      </c>
      <c r="C365" t="s" s="15">
        <v>1443</v>
      </c>
      <c r="D365" t="s" s="17">
        <v>1444</v>
      </c>
      <c r="E365" t="s" s="17">
        <v>1445</v>
      </c>
      <c r="F365" s="18"/>
      <c r="G365" s="19">
        <v>2</v>
      </c>
      <c r="H365" t="s" s="20">
        <v>25</v>
      </c>
      <c r="I365" t="s" s="17">
        <v>26</v>
      </c>
      <c r="J365" t="s" s="17">
        <v>1259</v>
      </c>
      <c r="K365" t="s" s="17">
        <v>1446</v>
      </c>
      <c r="L365" s="18"/>
      <c r="M365" s="18"/>
      <c r="N365" s="18"/>
      <c r="O365" s="21"/>
      <c r="P365" s="21"/>
      <c r="Q365" s="21"/>
      <c r="R365" s="21"/>
      <c r="S365" s="21"/>
      <c r="T365" s="21"/>
    </row>
    <row r="366" ht="39.55" customHeight="1">
      <c r="A366" t="s" s="15">
        <v>1447</v>
      </c>
      <c r="B366" s="16">
        <v>2018</v>
      </c>
      <c r="C366" t="s" s="15">
        <v>1443</v>
      </c>
      <c r="D366" t="s" s="17">
        <v>1448</v>
      </c>
      <c r="E366" t="s" s="17">
        <v>1449</v>
      </c>
      <c r="F366" s="18"/>
      <c r="G366" s="19">
        <v>2</v>
      </c>
      <c r="H366" t="s" s="20">
        <v>25</v>
      </c>
      <c r="I366" t="s" s="17">
        <v>26</v>
      </c>
      <c r="J366" t="s" s="17">
        <v>1259</v>
      </c>
      <c r="K366" s="18"/>
      <c r="L366" s="18"/>
      <c r="M366" s="18"/>
      <c r="N366" s="18"/>
      <c r="O366" s="21"/>
      <c r="P366" s="21"/>
      <c r="Q366" s="21"/>
      <c r="R366" s="21"/>
      <c r="S366" s="21"/>
      <c r="T366" s="21"/>
    </row>
    <row r="367" ht="30" customHeight="1">
      <c r="A367" t="s" s="15">
        <v>1450</v>
      </c>
      <c r="B367" s="16">
        <v>2019</v>
      </c>
      <c r="C367" t="s" s="15">
        <v>1451</v>
      </c>
      <c r="D367" t="s" s="17">
        <v>1452</v>
      </c>
      <c r="E367" t="s" s="17">
        <v>1453</v>
      </c>
      <c r="F367" s="18"/>
      <c r="G367" s="19">
        <v>2</v>
      </c>
      <c r="H367" t="s" s="20">
        <v>25</v>
      </c>
      <c r="I367" t="s" s="17">
        <v>26</v>
      </c>
      <c r="J367" t="s" s="17">
        <v>660</v>
      </c>
      <c r="K367" t="s" s="17">
        <v>661</v>
      </c>
      <c r="L367" s="18"/>
      <c r="M367" s="18"/>
      <c r="N367" s="18"/>
      <c r="O367" s="21"/>
      <c r="P367" s="21"/>
      <c r="Q367" s="21"/>
      <c r="R367" s="21"/>
      <c r="S367" s="21"/>
      <c r="T367" s="21"/>
    </row>
    <row r="368" ht="45" customHeight="1">
      <c r="A368" t="s" s="15">
        <v>1454</v>
      </c>
      <c r="B368" s="16">
        <v>2022</v>
      </c>
      <c r="C368" t="s" s="15">
        <v>1455</v>
      </c>
      <c r="D368" t="s" s="17">
        <v>1456</v>
      </c>
      <c r="E368" t="s" s="17">
        <v>1457</v>
      </c>
      <c r="F368" s="18"/>
      <c r="G368" s="19">
        <v>2</v>
      </c>
      <c r="H368" t="s" s="20">
        <v>25</v>
      </c>
      <c r="I368" t="s" s="17">
        <v>42</v>
      </c>
      <c r="J368" s="18"/>
      <c r="K368" t="s" s="17">
        <v>43</v>
      </c>
      <c r="L368" t="s" s="17">
        <v>42</v>
      </c>
      <c r="M368" t="s" s="17">
        <v>44</v>
      </c>
      <c r="N368" s="18"/>
      <c r="O368" s="21"/>
      <c r="P368" t="s" s="20">
        <v>46</v>
      </c>
      <c r="Q368" t="s" s="20">
        <v>47</v>
      </c>
      <c r="R368" t="s" s="20">
        <v>1458</v>
      </c>
      <c r="S368" t="s" s="20">
        <v>47</v>
      </c>
      <c r="T368" s="21"/>
    </row>
    <row r="369" ht="30" customHeight="1">
      <c r="A369" t="s" s="15">
        <v>1459</v>
      </c>
      <c r="B369" s="16">
        <v>2022</v>
      </c>
      <c r="C369" t="s" s="15">
        <v>1460</v>
      </c>
      <c r="D369" t="s" s="17">
        <v>1461</v>
      </c>
      <c r="E369" t="s" s="17">
        <v>1462</v>
      </c>
      <c r="F369" s="18"/>
      <c r="G369" s="19">
        <v>3</v>
      </c>
      <c r="H369" t="s" s="20">
        <v>46</v>
      </c>
      <c r="I369" t="s" s="17">
        <v>26</v>
      </c>
      <c r="J369" t="s" s="17">
        <v>31</v>
      </c>
      <c r="K369" s="18"/>
      <c r="L369" s="18"/>
      <c r="M369" s="18"/>
      <c r="N369" s="18"/>
      <c r="O369" s="21"/>
      <c r="P369" s="21"/>
      <c r="Q369" s="21"/>
      <c r="R369" s="21"/>
      <c r="S369" s="21"/>
      <c r="T369" s="21"/>
    </row>
    <row r="370" ht="30" customHeight="1">
      <c r="A370" t="s" s="15">
        <v>1463</v>
      </c>
      <c r="B370" s="16">
        <v>2012</v>
      </c>
      <c r="C370" t="s" s="15">
        <v>1464</v>
      </c>
      <c r="D370" t="s" s="17">
        <v>1465</v>
      </c>
      <c r="E370" t="s" s="17">
        <v>1466</v>
      </c>
      <c r="F370" s="18"/>
      <c r="G370" s="19">
        <v>3</v>
      </c>
      <c r="H370" t="s" s="20">
        <v>46</v>
      </c>
      <c r="I370" t="s" s="17">
        <v>42</v>
      </c>
      <c r="J370" s="18"/>
      <c r="K370" t="s" s="17">
        <v>1467</v>
      </c>
      <c r="L370" t="s" s="17">
        <v>42</v>
      </c>
      <c r="M370" t="s" s="17">
        <v>44</v>
      </c>
      <c r="N370" s="18"/>
      <c r="O370" s="21"/>
      <c r="P370" t="s" s="20">
        <v>25</v>
      </c>
      <c r="Q370" s="21"/>
      <c r="R370" t="s" s="20">
        <v>1468</v>
      </c>
      <c r="S370" s="21"/>
      <c r="T370" s="21"/>
    </row>
    <row r="371" ht="30" customHeight="1">
      <c r="A371" t="s" s="15">
        <v>1469</v>
      </c>
      <c r="B371" s="16">
        <v>2017</v>
      </c>
      <c r="C371" t="s" s="15">
        <v>1464</v>
      </c>
      <c r="D371" t="s" s="17">
        <v>1470</v>
      </c>
      <c r="E371" t="s" s="17">
        <v>1471</v>
      </c>
      <c r="F371" s="18"/>
      <c r="G371" s="19">
        <v>2</v>
      </c>
      <c r="H371" t="s" s="20">
        <v>25</v>
      </c>
      <c r="I371" t="s" s="17">
        <v>26</v>
      </c>
      <c r="J371" t="s" s="17">
        <v>1259</v>
      </c>
      <c r="K371" t="s" s="17">
        <v>1472</v>
      </c>
      <c r="L371" s="18"/>
      <c r="M371" s="18"/>
      <c r="N371" s="18"/>
      <c r="O371" s="21"/>
      <c r="P371" s="21"/>
      <c r="Q371" s="21"/>
      <c r="R371" s="21"/>
      <c r="S371" s="21"/>
      <c r="T371" s="21"/>
    </row>
    <row r="372" ht="30" customHeight="1">
      <c r="A372" t="s" s="15">
        <v>1473</v>
      </c>
      <c r="B372" s="16">
        <v>2019</v>
      </c>
      <c r="C372" t="s" s="15">
        <v>1474</v>
      </c>
      <c r="D372" t="s" s="17">
        <v>1475</v>
      </c>
      <c r="E372" t="s" s="17">
        <v>1476</v>
      </c>
      <c r="F372" s="18"/>
      <c r="G372" s="19">
        <v>2</v>
      </c>
      <c r="H372" t="s" s="20">
        <v>25</v>
      </c>
      <c r="I372" t="s" s="17">
        <v>42</v>
      </c>
      <c r="J372" t="s" s="17">
        <v>93</v>
      </c>
      <c r="K372" t="s" s="17">
        <v>1477</v>
      </c>
      <c r="L372" s="18"/>
      <c r="M372" s="18"/>
      <c r="N372" s="18"/>
      <c r="O372" s="21"/>
      <c r="P372" s="21"/>
      <c r="Q372" s="21"/>
      <c r="R372" s="21"/>
      <c r="S372" s="21"/>
      <c r="T372" s="21"/>
    </row>
    <row r="373" ht="30" customHeight="1">
      <c r="A373" t="s" s="15">
        <v>1478</v>
      </c>
      <c r="B373" s="16">
        <v>2018</v>
      </c>
      <c r="C373" t="s" s="15">
        <v>1479</v>
      </c>
      <c r="D373" t="s" s="17">
        <v>1480</v>
      </c>
      <c r="E373" t="s" s="17">
        <v>1481</v>
      </c>
      <c r="F373" s="18"/>
      <c r="G373" s="19">
        <v>2</v>
      </c>
      <c r="H373" t="s" s="20">
        <v>25</v>
      </c>
      <c r="I373" t="s" s="17">
        <v>42</v>
      </c>
      <c r="J373" t="s" s="17">
        <v>93</v>
      </c>
      <c r="K373" t="s" s="17">
        <v>1477</v>
      </c>
      <c r="L373" s="18"/>
      <c r="M373" s="18"/>
      <c r="N373" s="18"/>
      <c r="O373" s="21"/>
      <c r="P373" s="21"/>
      <c r="Q373" s="21"/>
      <c r="R373" s="21"/>
      <c r="S373" s="21"/>
      <c r="T373" s="21"/>
    </row>
    <row r="374" ht="30" customHeight="1">
      <c r="A374" t="s" s="15">
        <v>1482</v>
      </c>
      <c r="B374" s="16">
        <v>2016</v>
      </c>
      <c r="C374" t="s" s="15">
        <v>1483</v>
      </c>
      <c r="D374" t="s" s="17">
        <v>1484</v>
      </c>
      <c r="E374" s="18"/>
      <c r="F374" s="18"/>
      <c r="G374" s="19">
        <v>2</v>
      </c>
      <c r="H374" t="s" s="20">
        <v>25</v>
      </c>
      <c r="I374" t="s" s="17">
        <v>26</v>
      </c>
      <c r="J374" t="s" s="17">
        <v>1259</v>
      </c>
      <c r="K374" s="18"/>
      <c r="L374" s="18"/>
      <c r="M374" s="18"/>
      <c r="N374" s="18"/>
      <c r="O374" s="21"/>
      <c r="P374" s="21"/>
      <c r="Q374" s="21"/>
      <c r="R374" s="21"/>
      <c r="S374" s="21"/>
      <c r="T374" s="21"/>
    </row>
    <row r="375" ht="30" customHeight="1">
      <c r="A375" t="s" s="15">
        <v>1485</v>
      </c>
      <c r="B375" s="16">
        <v>2008</v>
      </c>
      <c r="C375" t="s" s="15">
        <v>1486</v>
      </c>
      <c r="D375" t="s" s="17">
        <v>1487</v>
      </c>
      <c r="E375" t="s" s="17">
        <v>1488</v>
      </c>
      <c r="F375" s="18"/>
      <c r="G375" s="19">
        <v>2</v>
      </c>
      <c r="H375" t="s" s="20">
        <v>25</v>
      </c>
      <c r="I375" t="s" s="17">
        <v>26</v>
      </c>
      <c r="J375" t="s" s="17">
        <v>1259</v>
      </c>
      <c r="K375" s="18"/>
      <c r="L375" s="18"/>
      <c r="M375" s="18"/>
      <c r="N375" s="18"/>
      <c r="O375" s="21"/>
      <c r="P375" s="21"/>
      <c r="Q375" s="21"/>
      <c r="R375" s="21"/>
      <c r="S375" s="21"/>
      <c r="T375" s="21"/>
    </row>
    <row r="376" ht="30" customHeight="1">
      <c r="A376" t="s" s="15">
        <v>1489</v>
      </c>
      <c r="B376" s="16">
        <v>2014</v>
      </c>
      <c r="C376" t="s" s="15">
        <v>1490</v>
      </c>
      <c r="D376" t="s" s="17">
        <v>1491</v>
      </c>
      <c r="E376" t="s" s="17">
        <v>1492</v>
      </c>
      <c r="F376" s="18"/>
      <c r="G376" s="19">
        <v>3</v>
      </c>
      <c r="H376" t="s" s="20">
        <v>46</v>
      </c>
      <c r="I376" t="s" s="17">
        <v>26</v>
      </c>
      <c r="J376" t="s" s="17">
        <v>27</v>
      </c>
      <c r="K376" t="s" s="17">
        <v>1493</v>
      </c>
      <c r="L376" s="18"/>
      <c r="M376" s="18"/>
      <c r="N376" s="18"/>
      <c r="O376" s="21"/>
      <c r="P376" s="21"/>
      <c r="Q376" s="21"/>
      <c r="R376" s="21"/>
      <c r="S376" s="21"/>
      <c r="T376" s="21"/>
    </row>
    <row r="377" ht="30" customHeight="1">
      <c r="A377" t="s" s="15">
        <v>1494</v>
      </c>
      <c r="B377" s="16">
        <v>2009</v>
      </c>
      <c r="C377" t="s" s="15">
        <v>1495</v>
      </c>
      <c r="D377" t="s" s="17">
        <v>1496</v>
      </c>
      <c r="E377" t="s" s="17">
        <v>1497</v>
      </c>
      <c r="F377" s="18"/>
      <c r="G377" s="19">
        <v>2</v>
      </c>
      <c r="H377" t="s" s="20">
        <v>25</v>
      </c>
      <c r="I377" t="s" s="17">
        <v>26</v>
      </c>
      <c r="J377" t="s" s="17">
        <v>31</v>
      </c>
      <c r="K377" s="18"/>
      <c r="L377" s="18"/>
      <c r="M377" s="18"/>
      <c r="N377" s="18"/>
      <c r="O377" s="21"/>
      <c r="P377" s="21"/>
      <c r="Q377" s="21"/>
      <c r="R377" s="21"/>
      <c r="S377" s="21"/>
      <c r="T377" s="21"/>
    </row>
    <row r="378" ht="26.55" customHeight="1">
      <c r="A378" t="s" s="15">
        <v>1498</v>
      </c>
      <c r="B378" s="16">
        <v>2017</v>
      </c>
      <c r="C378" t="s" s="15">
        <v>1499</v>
      </c>
      <c r="D378" t="s" s="17">
        <v>1500</v>
      </c>
      <c r="E378" t="s" s="17">
        <v>1501</v>
      </c>
      <c r="F378" s="18"/>
      <c r="G378" s="19">
        <v>2</v>
      </c>
      <c r="H378" t="s" s="20">
        <v>25</v>
      </c>
      <c r="I378" t="s" s="17">
        <v>26</v>
      </c>
      <c r="J378" t="s" s="17">
        <v>848</v>
      </c>
      <c r="K378" s="18"/>
      <c r="L378" s="18"/>
      <c r="M378" s="18"/>
      <c r="N378" s="18"/>
      <c r="O378" s="21"/>
      <c r="P378" s="21"/>
      <c r="Q378" s="21"/>
      <c r="R378" s="21"/>
      <c r="S378" s="21"/>
      <c r="T378" s="21"/>
    </row>
    <row r="379" ht="30" customHeight="1">
      <c r="A379" t="s" s="15">
        <v>1502</v>
      </c>
      <c r="B379" s="16">
        <v>2015</v>
      </c>
      <c r="C379" t="s" s="15">
        <v>1503</v>
      </c>
      <c r="D379" t="s" s="17">
        <v>1504</v>
      </c>
      <c r="E379" t="s" s="17">
        <v>1505</v>
      </c>
      <c r="F379" s="18"/>
      <c r="G379" s="19">
        <v>2</v>
      </c>
      <c r="H379" t="s" s="20">
        <v>25</v>
      </c>
      <c r="I379" t="s" s="17">
        <v>42</v>
      </c>
      <c r="J379" s="18"/>
      <c r="K379" t="s" s="17">
        <v>43</v>
      </c>
      <c r="L379" t="s" s="17">
        <v>42</v>
      </c>
      <c r="M379" t="s" s="17">
        <v>44</v>
      </c>
      <c r="N379" s="18"/>
      <c r="O379" s="21"/>
      <c r="P379" t="s" s="20">
        <v>46</v>
      </c>
      <c r="Q379" t="s" s="20">
        <v>277</v>
      </c>
      <c r="R379" s="21"/>
      <c r="S379" t="s" s="20">
        <v>277</v>
      </c>
      <c r="T379" s="21"/>
    </row>
    <row r="380" ht="30" customHeight="1">
      <c r="A380" t="s" s="15">
        <v>1506</v>
      </c>
      <c r="B380" s="16">
        <v>2016</v>
      </c>
      <c r="C380" t="s" s="15">
        <v>1503</v>
      </c>
      <c r="D380" t="s" s="17">
        <v>1507</v>
      </c>
      <c r="E380" t="s" s="17">
        <v>1508</v>
      </c>
      <c r="F380" s="18"/>
      <c r="G380" s="19">
        <v>2</v>
      </c>
      <c r="H380" t="s" s="20">
        <v>25</v>
      </c>
      <c r="I380" t="s" s="17">
        <v>26</v>
      </c>
      <c r="J380" t="s" s="17">
        <v>27</v>
      </c>
      <c r="K380" t="s" s="17">
        <v>1509</v>
      </c>
      <c r="L380" s="18"/>
      <c r="M380" s="18"/>
      <c r="N380" s="18"/>
      <c r="O380" s="21"/>
      <c r="P380" s="21"/>
      <c r="Q380" s="21"/>
      <c r="R380" s="21"/>
      <c r="S380" s="21"/>
      <c r="T380" s="21"/>
    </row>
    <row r="381" ht="30" customHeight="1">
      <c r="A381" t="s" s="15">
        <v>1510</v>
      </c>
      <c r="B381" s="16">
        <v>2014</v>
      </c>
      <c r="C381" t="s" s="15">
        <v>1511</v>
      </c>
      <c r="D381" t="s" s="17">
        <v>1512</v>
      </c>
      <c r="E381" t="s" s="17">
        <v>1513</v>
      </c>
      <c r="F381" s="18"/>
      <c r="G381" s="19">
        <v>2</v>
      </c>
      <c r="H381" t="s" s="20">
        <v>25</v>
      </c>
      <c r="I381" t="s" s="17">
        <v>26</v>
      </c>
      <c r="J381" t="s" s="17">
        <v>1050</v>
      </c>
      <c r="K381" s="18"/>
      <c r="L381" s="18"/>
      <c r="M381" s="18"/>
      <c r="N381" s="18"/>
      <c r="O381" s="21"/>
      <c r="P381" s="21"/>
      <c r="Q381" s="21"/>
      <c r="R381" s="21"/>
      <c r="S381" s="21"/>
      <c r="T381" s="21"/>
    </row>
    <row r="382" ht="39.55" customHeight="1">
      <c r="A382" t="s" s="15">
        <v>1514</v>
      </c>
      <c r="B382" s="16">
        <v>2009</v>
      </c>
      <c r="C382" t="s" s="15">
        <v>1515</v>
      </c>
      <c r="D382" t="s" s="17">
        <v>1516</v>
      </c>
      <c r="E382" t="s" s="17">
        <v>1517</v>
      </c>
      <c r="F382" s="18"/>
      <c r="G382" s="19">
        <v>2</v>
      </c>
      <c r="H382" t="s" s="20">
        <v>25</v>
      </c>
      <c r="I382" t="s" s="17">
        <v>42</v>
      </c>
      <c r="J382" s="18"/>
      <c r="K382" t="s" s="17">
        <v>43</v>
      </c>
      <c r="L382" t="s" s="17">
        <v>26</v>
      </c>
      <c r="M382" t="s" s="17">
        <v>44</v>
      </c>
      <c r="N382" t="s" s="17">
        <v>1518</v>
      </c>
      <c r="O382" s="21"/>
      <c r="P382" t="s" s="20">
        <v>46</v>
      </c>
      <c r="Q382" t="s" s="20">
        <v>277</v>
      </c>
      <c r="R382" s="21"/>
      <c r="S382" s="21"/>
      <c r="T382" s="21"/>
    </row>
    <row r="383" ht="30" customHeight="1">
      <c r="A383" t="s" s="15">
        <v>1519</v>
      </c>
      <c r="B383" s="16">
        <v>2014</v>
      </c>
      <c r="C383" t="s" s="15">
        <v>1520</v>
      </c>
      <c r="D383" t="s" s="17">
        <v>1521</v>
      </c>
      <c r="E383" t="s" s="17">
        <v>1522</v>
      </c>
      <c r="F383" s="18"/>
      <c r="G383" s="19">
        <v>2</v>
      </c>
      <c r="H383" t="s" s="20">
        <v>25</v>
      </c>
      <c r="I383" t="s" s="17">
        <v>26</v>
      </c>
      <c r="J383" t="s" s="17">
        <v>31</v>
      </c>
      <c r="K383" s="18"/>
      <c r="L383" s="18"/>
      <c r="M383" s="18"/>
      <c r="N383" s="18"/>
      <c r="O383" s="21"/>
      <c r="P383" s="21"/>
      <c r="Q383" s="21"/>
      <c r="R383" s="21"/>
      <c r="S383" s="21"/>
      <c r="T383" s="21"/>
    </row>
    <row r="384" ht="30" customHeight="1">
      <c r="A384" t="s" s="15">
        <v>1523</v>
      </c>
      <c r="B384" s="16">
        <v>2018</v>
      </c>
      <c r="C384" t="s" s="15">
        <v>1520</v>
      </c>
      <c r="D384" t="s" s="17">
        <v>1524</v>
      </c>
      <c r="E384" t="s" s="17">
        <v>1525</v>
      </c>
      <c r="F384" s="18"/>
      <c r="G384" s="19">
        <v>3</v>
      </c>
      <c r="H384" t="s" s="20">
        <v>25</v>
      </c>
      <c r="I384" t="s" s="17">
        <v>26</v>
      </c>
      <c r="J384" t="s" s="17">
        <v>1526</v>
      </c>
      <c r="K384" s="18"/>
      <c r="L384" s="18"/>
      <c r="M384" s="18"/>
      <c r="N384" s="18"/>
      <c r="O384" s="21"/>
      <c r="P384" s="21"/>
      <c r="Q384" s="21"/>
      <c r="R384" s="21"/>
      <c r="S384" s="21"/>
      <c r="T384" s="21"/>
    </row>
    <row r="385" ht="30" customHeight="1">
      <c r="A385" t="s" s="15">
        <v>1527</v>
      </c>
      <c r="B385" s="16">
        <v>2020</v>
      </c>
      <c r="C385" t="s" s="15">
        <v>1520</v>
      </c>
      <c r="D385" t="s" s="17">
        <v>1528</v>
      </c>
      <c r="E385" t="s" s="17">
        <v>1529</v>
      </c>
      <c r="F385" s="18"/>
      <c r="G385" s="19">
        <v>3</v>
      </c>
      <c r="H385" t="s" s="20">
        <v>46</v>
      </c>
      <c r="I385" t="s" s="17">
        <v>26</v>
      </c>
      <c r="J385" t="s" s="17">
        <v>93</v>
      </c>
      <c r="K385" t="s" s="17">
        <v>792</v>
      </c>
      <c r="L385" s="18"/>
      <c r="M385" s="18"/>
      <c r="N385" s="18"/>
      <c r="O385" s="21"/>
      <c r="P385" s="21"/>
      <c r="Q385" s="21"/>
      <c r="R385" s="21"/>
      <c r="S385" s="21"/>
      <c r="T385" s="21"/>
    </row>
    <row r="386" ht="26.55" customHeight="1">
      <c r="A386" t="s" s="15">
        <v>1530</v>
      </c>
      <c r="B386" s="16">
        <v>2020</v>
      </c>
      <c r="C386" t="s" s="15">
        <v>1531</v>
      </c>
      <c r="D386" t="s" s="17">
        <v>1532</v>
      </c>
      <c r="E386" t="s" s="17">
        <v>1533</v>
      </c>
      <c r="F386" s="18"/>
      <c r="G386" s="19">
        <v>2</v>
      </c>
      <c r="H386" t="s" s="20">
        <v>25</v>
      </c>
      <c r="I386" t="s" s="17">
        <v>26</v>
      </c>
      <c r="J386" t="s" s="17">
        <v>27</v>
      </c>
      <c r="K386" s="18"/>
      <c r="L386" s="18"/>
      <c r="M386" s="18"/>
      <c r="N386" s="18"/>
      <c r="O386" s="21"/>
      <c r="P386" s="21"/>
      <c r="Q386" s="21"/>
      <c r="R386" s="21"/>
      <c r="S386" s="21"/>
      <c r="T386" s="21"/>
    </row>
    <row r="387" ht="30" customHeight="1">
      <c r="A387" t="s" s="15">
        <v>1534</v>
      </c>
      <c r="B387" s="16">
        <v>2014</v>
      </c>
      <c r="C387" t="s" s="15">
        <v>1535</v>
      </c>
      <c r="D387" t="s" s="17">
        <v>1536</v>
      </c>
      <c r="E387" t="s" s="17">
        <v>1537</v>
      </c>
      <c r="F387" s="18"/>
      <c r="G387" s="19">
        <v>3</v>
      </c>
      <c r="H387" t="s" s="20">
        <v>46</v>
      </c>
      <c r="I387" t="s" s="17">
        <v>26</v>
      </c>
      <c r="J387" t="s" s="17">
        <v>127</v>
      </c>
      <c r="K387" s="18"/>
      <c r="L387" s="18"/>
      <c r="M387" s="18"/>
      <c r="N387" s="18"/>
      <c r="O387" s="21"/>
      <c r="P387" s="21"/>
      <c r="Q387" s="21"/>
      <c r="R387" s="21"/>
      <c r="S387" s="21"/>
      <c r="T387" s="21"/>
    </row>
    <row r="388" ht="30" customHeight="1">
      <c r="A388" t="s" s="15">
        <v>1538</v>
      </c>
      <c r="B388" s="16">
        <v>2006</v>
      </c>
      <c r="C388" t="s" s="15">
        <v>1539</v>
      </c>
      <c r="D388" t="s" s="17">
        <v>1540</v>
      </c>
      <c r="E388" t="s" s="17">
        <v>1541</v>
      </c>
      <c r="F388" s="18"/>
      <c r="G388" s="19">
        <v>2</v>
      </c>
      <c r="H388" t="s" s="20">
        <v>25</v>
      </c>
      <c r="I388" t="s" s="17">
        <v>42</v>
      </c>
      <c r="J388" s="18"/>
      <c r="K388" t="s" s="17">
        <v>43</v>
      </c>
      <c r="L388" t="s" s="17">
        <v>42</v>
      </c>
      <c r="M388" t="s" s="17">
        <v>44</v>
      </c>
      <c r="N388" s="18"/>
      <c r="O388" s="21"/>
      <c r="P388" t="s" s="20">
        <v>25</v>
      </c>
      <c r="Q388" s="21"/>
      <c r="R388" s="21"/>
      <c r="S388" s="21"/>
      <c r="T388" s="21"/>
    </row>
    <row r="389" ht="30" customHeight="1">
      <c r="A389" t="s" s="15">
        <v>1542</v>
      </c>
      <c r="B389" s="16">
        <v>2016</v>
      </c>
      <c r="C389" t="s" s="15">
        <v>1539</v>
      </c>
      <c r="D389" t="s" s="17">
        <v>1543</v>
      </c>
      <c r="E389" t="s" s="17">
        <v>1544</v>
      </c>
      <c r="F389" s="18"/>
      <c r="G389" s="19">
        <v>2</v>
      </c>
      <c r="H389" t="s" s="20">
        <v>25</v>
      </c>
      <c r="I389" t="s" s="17">
        <v>42</v>
      </c>
      <c r="J389" s="18"/>
      <c r="K389" t="s" s="17">
        <v>43</v>
      </c>
      <c r="L389" t="s" s="17">
        <v>42</v>
      </c>
      <c r="M389" t="s" s="17">
        <v>212</v>
      </c>
      <c r="N389" s="18"/>
      <c r="O389" s="21"/>
      <c r="P389" t="s" s="20">
        <v>25</v>
      </c>
      <c r="Q389" s="21"/>
      <c r="R389" s="21"/>
      <c r="S389" s="21"/>
      <c r="T389" s="21"/>
    </row>
    <row r="390" ht="45" customHeight="1">
      <c r="A390" t="s" s="15">
        <v>1545</v>
      </c>
      <c r="B390" s="16">
        <v>2005</v>
      </c>
      <c r="C390" t="s" s="15">
        <v>1546</v>
      </c>
      <c r="D390" t="s" s="17">
        <v>1547</v>
      </c>
      <c r="E390" t="s" s="17">
        <v>1548</v>
      </c>
      <c r="F390" t="s" s="17">
        <v>1549</v>
      </c>
      <c r="G390" s="19">
        <v>2</v>
      </c>
      <c r="H390" t="s" s="20">
        <v>25</v>
      </c>
      <c r="I390" t="s" s="17">
        <v>42</v>
      </c>
      <c r="J390" s="18"/>
      <c r="K390" t="s" s="17">
        <v>43</v>
      </c>
      <c r="L390" t="s" s="17">
        <v>42</v>
      </c>
      <c r="M390" t="s" s="17">
        <v>212</v>
      </c>
      <c r="N390" s="18"/>
      <c r="O390" t="s" s="20">
        <v>1550</v>
      </c>
      <c r="P390" t="s" s="20">
        <v>46</v>
      </c>
      <c r="Q390" s="21"/>
      <c r="R390" s="21"/>
      <c r="S390" s="21"/>
      <c r="T390" s="21"/>
    </row>
    <row r="391" ht="30" customHeight="1">
      <c r="A391" t="s" s="15">
        <v>1551</v>
      </c>
      <c r="B391" s="16">
        <v>2007</v>
      </c>
      <c r="C391" t="s" s="15">
        <v>1546</v>
      </c>
      <c r="D391" t="s" s="17">
        <v>1552</v>
      </c>
      <c r="E391" t="s" s="17">
        <v>1553</v>
      </c>
      <c r="F391" t="s" s="17">
        <v>1554</v>
      </c>
      <c r="G391" s="19">
        <v>2</v>
      </c>
      <c r="H391" t="s" s="20">
        <v>25</v>
      </c>
      <c r="I391" t="s" s="17">
        <v>42</v>
      </c>
      <c r="J391" s="18"/>
      <c r="K391" t="s" s="17">
        <v>43</v>
      </c>
      <c r="L391" t="s" s="17">
        <v>26</v>
      </c>
      <c r="M391" s="18"/>
      <c r="N391" t="s" s="17">
        <v>151</v>
      </c>
      <c r="O391" t="s" s="20">
        <v>1555</v>
      </c>
      <c r="P391" s="21"/>
      <c r="Q391" s="21"/>
      <c r="R391" s="21"/>
      <c r="S391" s="21"/>
      <c r="T391" s="21"/>
    </row>
    <row r="392" ht="30" customHeight="1">
      <c r="A392" t="s" s="15">
        <v>1556</v>
      </c>
      <c r="B392" s="16">
        <v>2012</v>
      </c>
      <c r="C392" t="s" s="15">
        <v>1546</v>
      </c>
      <c r="D392" t="s" s="17">
        <v>1557</v>
      </c>
      <c r="E392" t="s" s="17">
        <v>1558</v>
      </c>
      <c r="F392" s="18"/>
      <c r="G392" s="19">
        <v>2</v>
      </c>
      <c r="H392" t="s" s="20">
        <v>25</v>
      </c>
      <c r="I392" t="s" s="17">
        <v>42</v>
      </c>
      <c r="J392" s="18"/>
      <c r="K392" t="s" s="17">
        <v>43</v>
      </c>
      <c r="L392" t="s" s="17">
        <v>26</v>
      </c>
      <c r="M392" t="s" s="17">
        <v>44</v>
      </c>
      <c r="N392" t="s" s="17">
        <v>1559</v>
      </c>
      <c r="O392" s="21"/>
      <c r="P392" t="s" s="20">
        <v>46</v>
      </c>
      <c r="Q392" s="21"/>
      <c r="R392" s="21"/>
      <c r="S392" s="21"/>
      <c r="T392" s="21"/>
    </row>
    <row r="393" ht="30" customHeight="1">
      <c r="A393" t="s" s="15">
        <v>1560</v>
      </c>
      <c r="B393" s="16">
        <v>2016</v>
      </c>
      <c r="C393" t="s" s="15">
        <v>1546</v>
      </c>
      <c r="D393" t="s" s="17">
        <v>1561</v>
      </c>
      <c r="E393" t="s" s="17">
        <v>1562</v>
      </c>
      <c r="F393" s="18"/>
      <c r="G393" s="19">
        <v>2</v>
      </c>
      <c r="H393" t="s" s="20">
        <v>25</v>
      </c>
      <c r="I393" t="s" s="17">
        <v>26</v>
      </c>
      <c r="J393" t="s" s="17">
        <v>660</v>
      </c>
      <c r="K393" t="s" s="17">
        <v>661</v>
      </c>
      <c r="L393" s="18"/>
      <c r="M393" s="18"/>
      <c r="N393" s="18"/>
      <c r="O393" s="21"/>
      <c r="P393" s="21"/>
      <c r="Q393" s="21"/>
      <c r="R393" s="21"/>
      <c r="S393" s="21"/>
      <c r="T393" s="21"/>
    </row>
    <row r="394" ht="45" customHeight="1">
      <c r="A394" t="s" s="15">
        <v>1563</v>
      </c>
      <c r="B394" s="16">
        <v>2018</v>
      </c>
      <c r="C394" t="s" s="15">
        <v>1546</v>
      </c>
      <c r="D394" t="s" s="17">
        <v>1564</v>
      </c>
      <c r="E394" t="s" s="17">
        <v>1565</v>
      </c>
      <c r="F394" s="18"/>
      <c r="G394" s="19">
        <v>2</v>
      </c>
      <c r="H394" t="s" s="20">
        <v>25</v>
      </c>
      <c r="I394" t="s" s="17">
        <v>42</v>
      </c>
      <c r="J394" s="18"/>
      <c r="K394" t="s" s="17">
        <v>1566</v>
      </c>
      <c r="L394" t="s" s="17">
        <v>42</v>
      </c>
      <c r="M394" t="s" s="17">
        <v>212</v>
      </c>
      <c r="N394" s="18"/>
      <c r="O394" s="21"/>
      <c r="P394" t="s" s="20">
        <v>25</v>
      </c>
      <c r="Q394" s="21"/>
      <c r="R394" s="21"/>
      <c r="S394" s="21"/>
      <c r="T394" s="21"/>
    </row>
    <row r="395" ht="30" customHeight="1">
      <c r="A395" t="s" s="15">
        <v>1567</v>
      </c>
      <c r="B395" s="16">
        <v>2022</v>
      </c>
      <c r="C395" t="s" s="15">
        <v>1546</v>
      </c>
      <c r="D395" t="s" s="17">
        <v>1568</v>
      </c>
      <c r="E395" t="s" s="17">
        <v>1569</v>
      </c>
      <c r="F395" s="18"/>
      <c r="G395" s="19">
        <v>3</v>
      </c>
      <c r="H395" t="s" s="20">
        <v>25</v>
      </c>
      <c r="I395" t="s" s="17">
        <v>26</v>
      </c>
      <c r="J395" t="s" s="17">
        <v>93</v>
      </c>
      <c r="K395" t="s" s="17">
        <v>1472</v>
      </c>
      <c r="L395" s="18"/>
      <c r="M395" s="18"/>
      <c r="N395" s="18"/>
      <c r="O395" s="21"/>
      <c r="P395" s="21"/>
      <c r="Q395" s="21"/>
      <c r="R395" s="21"/>
      <c r="S395" s="21"/>
      <c r="T395" s="21"/>
    </row>
    <row r="396" ht="30" customHeight="1">
      <c r="A396" t="s" s="15">
        <v>1570</v>
      </c>
      <c r="B396" s="16">
        <v>2022</v>
      </c>
      <c r="C396" t="s" s="15">
        <v>1571</v>
      </c>
      <c r="D396" t="s" s="17">
        <v>1572</v>
      </c>
      <c r="E396" t="s" s="17">
        <v>1573</v>
      </c>
      <c r="F396" s="18"/>
      <c r="G396" s="19">
        <v>2</v>
      </c>
      <c r="H396" t="s" s="20">
        <v>25</v>
      </c>
      <c r="I396" t="s" s="17">
        <v>26</v>
      </c>
      <c r="J396" t="s" s="17">
        <v>27</v>
      </c>
      <c r="K396" s="18"/>
      <c r="L396" s="18"/>
      <c r="M396" s="18"/>
      <c r="N396" s="18"/>
      <c r="O396" s="21"/>
      <c r="P396" s="21"/>
      <c r="Q396" s="21"/>
      <c r="R396" s="21"/>
      <c r="S396" s="21"/>
      <c r="T396" s="21"/>
    </row>
    <row r="397" ht="39.55" customHeight="1">
      <c r="A397" t="s" s="15">
        <v>1574</v>
      </c>
      <c r="B397" s="16">
        <v>2022</v>
      </c>
      <c r="C397" t="s" s="15">
        <v>1575</v>
      </c>
      <c r="D397" t="s" s="17">
        <v>1576</v>
      </c>
      <c r="E397" t="s" s="17">
        <v>1577</v>
      </c>
      <c r="F397" s="18"/>
      <c r="G397" s="19">
        <v>2</v>
      </c>
      <c r="H397" t="s" s="20">
        <v>25</v>
      </c>
      <c r="I397" t="s" s="17">
        <v>26</v>
      </c>
      <c r="J397" t="s" s="17">
        <v>27</v>
      </c>
      <c r="K397" s="18"/>
      <c r="L397" s="18"/>
      <c r="M397" s="18"/>
      <c r="N397" s="18"/>
      <c r="O397" s="21"/>
      <c r="P397" s="21"/>
      <c r="Q397" s="21"/>
      <c r="R397" s="21"/>
      <c r="S397" s="21"/>
      <c r="T397" s="21"/>
    </row>
    <row r="398" ht="30" customHeight="1">
      <c r="A398" t="s" s="15">
        <v>1578</v>
      </c>
      <c r="B398" s="16">
        <v>2019</v>
      </c>
      <c r="C398" t="s" s="15">
        <v>1579</v>
      </c>
      <c r="D398" t="s" s="17">
        <v>1580</v>
      </c>
      <c r="E398" t="s" s="17">
        <v>1581</v>
      </c>
      <c r="F398" s="18"/>
      <c r="G398" s="19">
        <v>2</v>
      </c>
      <c r="H398" t="s" s="20">
        <v>25</v>
      </c>
      <c r="I398" t="s" s="17">
        <v>26</v>
      </c>
      <c r="J398" t="s" s="17">
        <v>102</v>
      </c>
      <c r="K398" s="18"/>
      <c r="L398" s="18"/>
      <c r="M398" s="18"/>
      <c r="N398" s="18"/>
      <c r="O398" s="21"/>
      <c r="P398" s="21"/>
      <c r="Q398" s="21"/>
      <c r="R398" s="21"/>
      <c r="S398" s="21"/>
      <c r="T398" s="21"/>
    </row>
    <row r="399" ht="30" customHeight="1">
      <c r="A399" t="s" s="15">
        <v>1582</v>
      </c>
      <c r="B399" s="16">
        <v>2011</v>
      </c>
      <c r="C399" t="s" s="15">
        <v>1583</v>
      </c>
      <c r="D399" t="s" s="17">
        <v>1584</v>
      </c>
      <c r="E399" t="s" s="17">
        <v>1585</v>
      </c>
      <c r="F399" s="18"/>
      <c r="G399" s="19">
        <v>2</v>
      </c>
      <c r="H399" t="s" s="20">
        <v>25</v>
      </c>
      <c r="I399" t="s" s="17">
        <v>42</v>
      </c>
      <c r="J399" s="18"/>
      <c r="K399" t="s" s="17">
        <v>43</v>
      </c>
      <c r="L399" t="s" s="17">
        <v>26</v>
      </c>
      <c r="M399" t="s" s="17">
        <v>44</v>
      </c>
      <c r="N399" t="s" s="17">
        <v>521</v>
      </c>
      <c r="O399" s="21"/>
      <c r="P399" t="s" s="20">
        <v>46</v>
      </c>
      <c r="Q399" s="21"/>
      <c r="R399" s="21"/>
      <c r="S399" s="21"/>
      <c r="T399" s="21"/>
    </row>
    <row r="400" ht="30" customHeight="1">
      <c r="A400" t="s" s="15">
        <v>1586</v>
      </c>
      <c r="B400" s="16">
        <v>2020</v>
      </c>
      <c r="C400" t="s" s="15">
        <v>1587</v>
      </c>
      <c r="D400" t="s" s="17">
        <v>1588</v>
      </c>
      <c r="E400" t="s" s="17">
        <v>1589</v>
      </c>
      <c r="F400" s="18"/>
      <c r="G400" s="19">
        <v>2</v>
      </c>
      <c r="H400" t="s" s="20">
        <v>25</v>
      </c>
      <c r="I400" t="s" s="17">
        <v>26</v>
      </c>
      <c r="J400" t="s" s="17">
        <v>79</v>
      </c>
      <c r="K400" s="18"/>
      <c r="L400" s="18"/>
      <c r="M400" s="18"/>
      <c r="N400" s="18"/>
      <c r="O400" s="21"/>
      <c r="P400" s="21"/>
      <c r="Q400" s="21"/>
      <c r="R400" s="21"/>
      <c r="S400" s="21"/>
      <c r="T400" s="21"/>
    </row>
    <row r="401" ht="30" customHeight="1">
      <c r="A401" t="s" s="15">
        <v>1590</v>
      </c>
      <c r="B401" s="16">
        <v>2019</v>
      </c>
      <c r="C401" t="s" s="15">
        <v>1591</v>
      </c>
      <c r="D401" t="s" s="17">
        <v>1592</v>
      </c>
      <c r="E401" t="s" s="17">
        <v>1593</v>
      </c>
      <c r="F401" s="18"/>
      <c r="G401" s="19">
        <v>2</v>
      </c>
      <c r="H401" t="s" s="20">
        <v>25</v>
      </c>
      <c r="I401" t="s" s="17">
        <v>26</v>
      </c>
      <c r="J401" t="s" s="17">
        <v>93</v>
      </c>
      <c r="K401" s="18"/>
      <c r="L401" s="18"/>
      <c r="M401" s="18"/>
      <c r="N401" s="18"/>
      <c r="O401" s="21"/>
      <c r="P401" s="21"/>
      <c r="Q401" s="21"/>
      <c r="R401" s="21"/>
      <c r="S401" s="21"/>
      <c r="T401" s="21"/>
    </row>
    <row r="402" ht="30" customHeight="1">
      <c r="A402" t="s" s="15">
        <v>1594</v>
      </c>
      <c r="B402" s="16">
        <v>2020</v>
      </c>
      <c r="C402" t="s" s="15">
        <v>1595</v>
      </c>
      <c r="D402" t="s" s="17">
        <v>1596</v>
      </c>
      <c r="E402" t="s" s="17">
        <v>1597</v>
      </c>
      <c r="F402" s="18"/>
      <c r="G402" s="19">
        <v>2</v>
      </c>
      <c r="H402" t="s" s="20">
        <v>25</v>
      </c>
      <c r="I402" t="s" s="17">
        <v>26</v>
      </c>
      <c r="J402" t="s" s="17">
        <v>27</v>
      </c>
      <c r="K402" s="18"/>
      <c r="L402" s="18"/>
      <c r="M402" s="18"/>
      <c r="N402" s="18"/>
      <c r="O402" s="21"/>
      <c r="P402" s="21"/>
      <c r="Q402" s="21"/>
      <c r="R402" s="21"/>
      <c r="S402" s="21"/>
      <c r="T402" s="21"/>
    </row>
    <row r="403" ht="30" customHeight="1">
      <c r="A403" t="s" s="15">
        <v>1598</v>
      </c>
      <c r="B403" s="16">
        <v>2022</v>
      </c>
      <c r="C403" t="s" s="15">
        <v>1599</v>
      </c>
      <c r="D403" t="s" s="17">
        <v>1600</v>
      </c>
      <c r="E403" t="s" s="17">
        <v>1601</v>
      </c>
      <c r="F403" s="18"/>
      <c r="G403" s="19">
        <v>3</v>
      </c>
      <c r="H403" t="s" s="20">
        <v>46</v>
      </c>
      <c r="I403" t="s" s="17">
        <v>42</v>
      </c>
      <c r="J403" s="18"/>
      <c r="K403" t="s" s="17">
        <v>43</v>
      </c>
      <c r="L403" t="s" s="17">
        <v>42</v>
      </c>
      <c r="M403" t="s" s="17">
        <v>44</v>
      </c>
      <c r="N403" s="18"/>
      <c r="O403" s="21"/>
      <c r="P403" t="s" s="20">
        <v>25</v>
      </c>
      <c r="Q403" s="21"/>
      <c r="R403" s="21"/>
      <c r="S403" s="21"/>
      <c r="T403" s="21"/>
    </row>
    <row r="404" ht="30" customHeight="1">
      <c r="A404" t="s" s="15">
        <v>1602</v>
      </c>
      <c r="B404" s="16">
        <v>2021</v>
      </c>
      <c r="C404" t="s" s="15">
        <v>1603</v>
      </c>
      <c r="D404" t="s" s="17">
        <v>1604</v>
      </c>
      <c r="E404" t="s" s="17">
        <v>1605</v>
      </c>
      <c r="F404" s="18"/>
      <c r="G404" s="19">
        <v>2</v>
      </c>
      <c r="H404" t="s" s="20">
        <v>25</v>
      </c>
      <c r="I404" t="s" s="17">
        <v>26</v>
      </c>
      <c r="J404" t="s" s="17">
        <v>27</v>
      </c>
      <c r="K404" s="18"/>
      <c r="L404" s="18"/>
      <c r="M404" s="18"/>
      <c r="N404" s="18"/>
      <c r="O404" s="21"/>
      <c r="P404" s="21"/>
      <c r="Q404" s="21"/>
      <c r="R404" s="21"/>
      <c r="S404" s="21"/>
      <c r="T404" s="21"/>
    </row>
    <row r="405" ht="30" customHeight="1">
      <c r="A405" t="s" s="15">
        <v>1606</v>
      </c>
      <c r="B405" s="16">
        <v>2015</v>
      </c>
      <c r="C405" t="s" s="15">
        <v>1607</v>
      </c>
      <c r="D405" t="s" s="17">
        <v>1607</v>
      </c>
      <c r="E405" t="s" s="17">
        <v>1608</v>
      </c>
      <c r="F405" s="18"/>
      <c r="G405" s="19">
        <v>2</v>
      </c>
      <c r="H405" t="s" s="20">
        <v>25</v>
      </c>
      <c r="I405" t="s" s="17">
        <v>26</v>
      </c>
      <c r="J405" t="s" s="17">
        <v>1609</v>
      </c>
      <c r="K405" t="s" s="17">
        <v>467</v>
      </c>
      <c r="L405" s="18"/>
      <c r="M405" s="18"/>
      <c r="N405" s="18"/>
      <c r="O405" s="21"/>
      <c r="P405" s="21"/>
      <c r="Q405" s="21"/>
      <c r="R405" s="21"/>
      <c r="S405" s="21"/>
      <c r="T405" s="21"/>
    </row>
    <row r="406" ht="30" customHeight="1">
      <c r="A406" t="s" s="15">
        <v>1610</v>
      </c>
      <c r="B406" s="16">
        <v>2015</v>
      </c>
      <c r="C406" t="s" s="15">
        <v>1611</v>
      </c>
      <c r="D406" t="s" s="17">
        <v>1612</v>
      </c>
      <c r="E406" t="s" s="17">
        <v>1613</v>
      </c>
      <c r="F406" s="18"/>
      <c r="G406" s="19">
        <v>2</v>
      </c>
      <c r="H406" t="s" s="20">
        <v>25</v>
      </c>
      <c r="I406" t="s" s="17">
        <v>42</v>
      </c>
      <c r="J406" s="18"/>
      <c r="K406" t="s" s="17">
        <v>43</v>
      </c>
      <c r="L406" t="s" s="17">
        <v>42</v>
      </c>
      <c r="M406" t="s" s="17">
        <v>212</v>
      </c>
      <c r="N406" s="18"/>
      <c r="O406" s="21"/>
      <c r="P406" t="s" s="20">
        <v>46</v>
      </c>
      <c r="Q406" s="21"/>
      <c r="R406" s="21"/>
      <c r="S406" s="21"/>
      <c r="T406" s="21"/>
    </row>
    <row r="407" ht="30" customHeight="1">
      <c r="A407" t="s" s="15">
        <v>1614</v>
      </c>
      <c r="B407" s="16">
        <v>2021</v>
      </c>
      <c r="C407" t="s" s="15">
        <v>1615</v>
      </c>
      <c r="D407" t="s" s="17">
        <v>1616</v>
      </c>
      <c r="E407" t="s" s="17">
        <v>1617</v>
      </c>
      <c r="F407" s="18"/>
      <c r="G407" s="19">
        <v>3</v>
      </c>
      <c r="H407" t="s" s="20">
        <v>46</v>
      </c>
      <c r="I407" t="s" s="17">
        <v>26</v>
      </c>
      <c r="J407" t="s" s="17">
        <v>1213</v>
      </c>
      <c r="K407" t="s" s="17">
        <v>262</v>
      </c>
      <c r="L407" s="18"/>
      <c r="M407" s="18"/>
      <c r="N407" s="18"/>
      <c r="O407" s="21"/>
      <c r="P407" s="21"/>
      <c r="Q407" s="21"/>
      <c r="R407" s="21"/>
      <c r="S407" s="21"/>
      <c r="T407" s="21"/>
    </row>
    <row r="408" ht="30" customHeight="1">
      <c r="A408" t="s" s="15">
        <v>1618</v>
      </c>
      <c r="B408" s="16">
        <v>2011</v>
      </c>
      <c r="C408" t="s" s="15">
        <v>1619</v>
      </c>
      <c r="D408" t="s" s="17">
        <v>1620</v>
      </c>
      <c r="E408" t="s" s="17">
        <v>1621</v>
      </c>
      <c r="F408" s="18"/>
      <c r="G408" s="19">
        <v>2</v>
      </c>
      <c r="H408" t="s" s="20">
        <v>25</v>
      </c>
      <c r="I408" t="s" s="17">
        <v>26</v>
      </c>
      <c r="J408" t="s" s="17">
        <v>31</v>
      </c>
      <c r="K408" t="s" s="17">
        <v>86</v>
      </c>
      <c r="L408" s="18"/>
      <c r="M408" s="18"/>
      <c r="N408" s="18"/>
      <c r="O408" s="21"/>
      <c r="P408" s="21"/>
      <c r="Q408" s="21"/>
      <c r="R408" s="21"/>
      <c r="S408" s="21"/>
      <c r="T408" s="21"/>
    </row>
    <row r="409" ht="39.55" customHeight="1">
      <c r="A409" t="s" s="15">
        <v>1622</v>
      </c>
      <c r="B409" s="16">
        <v>2006</v>
      </c>
      <c r="C409" t="s" s="15">
        <v>1623</v>
      </c>
      <c r="D409" t="s" s="17">
        <v>1624</v>
      </c>
      <c r="E409" t="s" s="17">
        <v>1625</v>
      </c>
      <c r="F409" s="18"/>
      <c r="G409" s="19">
        <v>2</v>
      </c>
      <c r="H409" t="s" s="20">
        <v>25</v>
      </c>
      <c r="I409" t="s" s="17">
        <v>42</v>
      </c>
      <c r="J409" t="s" s="17">
        <v>31</v>
      </c>
      <c r="K409" t="s" s="17">
        <v>262</v>
      </c>
      <c r="L409" s="18"/>
      <c r="M409" s="18"/>
      <c r="N409" s="18"/>
      <c r="O409" s="21"/>
      <c r="P409" s="21"/>
      <c r="Q409" s="21"/>
      <c r="R409" s="21"/>
      <c r="S409" s="21"/>
      <c r="T409" s="21"/>
    </row>
    <row r="410" ht="30" customHeight="1">
      <c r="A410" t="s" s="15">
        <v>1626</v>
      </c>
      <c r="B410" s="16">
        <v>2009</v>
      </c>
      <c r="C410" t="s" s="15">
        <v>1627</v>
      </c>
      <c r="D410" t="s" s="17">
        <v>1628</v>
      </c>
      <c r="E410" t="s" s="17">
        <v>1629</v>
      </c>
      <c r="F410" s="18"/>
      <c r="G410" s="19">
        <v>2</v>
      </c>
      <c r="H410" t="s" s="20">
        <v>25</v>
      </c>
      <c r="I410" t="s" s="17">
        <v>42</v>
      </c>
      <c r="J410" s="18"/>
      <c r="K410" t="s" s="17">
        <v>43</v>
      </c>
      <c r="L410" t="s" s="17">
        <v>42</v>
      </c>
      <c r="M410" t="s" s="17">
        <v>44</v>
      </c>
      <c r="N410" s="18"/>
      <c r="O410" s="21"/>
      <c r="P410" t="s" s="20">
        <v>25</v>
      </c>
      <c r="Q410" s="21"/>
      <c r="R410" s="21"/>
      <c r="S410" s="21"/>
      <c r="T410" s="21"/>
    </row>
    <row r="411" ht="30" customHeight="1">
      <c r="A411" t="s" s="15">
        <v>1630</v>
      </c>
      <c r="B411" s="16">
        <v>2011</v>
      </c>
      <c r="C411" t="s" s="15">
        <v>1627</v>
      </c>
      <c r="D411" t="s" s="17">
        <v>1631</v>
      </c>
      <c r="E411" t="s" s="17">
        <v>1632</v>
      </c>
      <c r="F411" s="18"/>
      <c r="G411" s="19">
        <v>2</v>
      </c>
      <c r="H411" t="s" s="20">
        <v>25</v>
      </c>
      <c r="I411" t="s" s="17">
        <v>26</v>
      </c>
      <c r="J411" t="s" s="17">
        <v>27</v>
      </c>
      <c r="K411" s="18"/>
      <c r="L411" s="18"/>
      <c r="M411" s="18"/>
      <c r="N411" s="18"/>
      <c r="O411" s="21"/>
      <c r="P411" s="21"/>
      <c r="Q411" s="21"/>
      <c r="R411" s="21"/>
      <c r="S411" s="21"/>
      <c r="T411" s="21"/>
    </row>
    <row r="412" ht="30" customHeight="1">
      <c r="A412" t="s" s="15">
        <v>1633</v>
      </c>
      <c r="B412" s="16">
        <v>2015</v>
      </c>
      <c r="C412" t="s" s="15">
        <v>1634</v>
      </c>
      <c r="D412" t="s" s="17">
        <v>1635</v>
      </c>
      <c r="E412" t="s" s="17">
        <v>1636</v>
      </c>
      <c r="F412" s="18"/>
      <c r="G412" s="19">
        <v>2</v>
      </c>
      <c r="H412" t="s" s="20">
        <v>25</v>
      </c>
      <c r="I412" t="s" s="17">
        <v>42</v>
      </c>
      <c r="J412" s="18"/>
      <c r="K412" t="s" s="17">
        <v>43</v>
      </c>
      <c r="L412" t="s" s="17">
        <v>26</v>
      </c>
      <c r="M412" s="18"/>
      <c r="N412" t="s" s="17">
        <v>220</v>
      </c>
      <c r="O412" t="s" s="20">
        <v>1637</v>
      </c>
      <c r="P412" s="21"/>
      <c r="Q412" s="21"/>
      <c r="R412" s="21"/>
      <c r="S412" s="21"/>
      <c r="T412" s="21"/>
    </row>
    <row r="413" ht="39.55" customHeight="1">
      <c r="A413" t="s" s="15">
        <v>1638</v>
      </c>
      <c r="B413" s="16">
        <v>2017</v>
      </c>
      <c r="C413" t="s" s="15">
        <v>1634</v>
      </c>
      <c r="D413" t="s" s="17">
        <v>1639</v>
      </c>
      <c r="E413" t="s" s="17">
        <v>1640</v>
      </c>
      <c r="F413" s="18"/>
      <c r="G413" s="19">
        <v>2</v>
      </c>
      <c r="H413" t="s" s="20">
        <v>25</v>
      </c>
      <c r="I413" t="s" s="17">
        <v>42</v>
      </c>
      <c r="J413" s="18"/>
      <c r="K413" t="s" s="17">
        <v>43</v>
      </c>
      <c r="L413" t="s" s="17">
        <v>42</v>
      </c>
      <c r="M413" t="s" s="17">
        <v>212</v>
      </c>
      <c r="N413" s="18"/>
      <c r="O413" s="21"/>
      <c r="P413" t="s" s="20">
        <v>46</v>
      </c>
      <c r="Q413" s="21"/>
      <c r="R413" s="21"/>
      <c r="S413" s="21"/>
      <c r="T413" s="21"/>
    </row>
    <row r="414" ht="30" customHeight="1">
      <c r="A414" t="s" s="15">
        <v>1641</v>
      </c>
      <c r="B414" s="16">
        <v>2015</v>
      </c>
      <c r="C414" t="s" s="15">
        <v>1642</v>
      </c>
      <c r="D414" t="s" s="17">
        <v>1643</v>
      </c>
      <c r="E414" t="s" s="17">
        <v>1644</v>
      </c>
      <c r="F414" s="18"/>
      <c r="G414" s="19">
        <v>3</v>
      </c>
      <c r="H414" t="s" s="20">
        <v>46</v>
      </c>
      <c r="I414" t="s" s="17">
        <v>26</v>
      </c>
      <c r="J414" t="s" s="17">
        <v>61</v>
      </c>
      <c r="K414" s="18"/>
      <c r="L414" s="18"/>
      <c r="M414" s="18"/>
      <c r="N414" s="18"/>
      <c r="O414" s="21"/>
      <c r="P414" s="21"/>
      <c r="Q414" s="21"/>
      <c r="R414" s="21"/>
      <c r="S414" s="21"/>
      <c r="T414" s="21"/>
    </row>
    <row r="415" ht="30" customHeight="1">
      <c r="A415" t="s" s="15">
        <v>1645</v>
      </c>
      <c r="B415" s="16">
        <v>2018</v>
      </c>
      <c r="C415" t="s" s="15">
        <v>1646</v>
      </c>
      <c r="D415" t="s" s="17">
        <v>1647</v>
      </c>
      <c r="E415" t="s" s="17">
        <v>1648</v>
      </c>
      <c r="F415" s="18"/>
      <c r="G415" s="19">
        <v>2</v>
      </c>
      <c r="H415" t="s" s="20">
        <v>25</v>
      </c>
      <c r="I415" t="s" s="17">
        <v>26</v>
      </c>
      <c r="J415" t="s" s="17">
        <v>660</v>
      </c>
      <c r="K415" t="s" s="17">
        <v>661</v>
      </c>
      <c r="L415" s="18"/>
      <c r="M415" s="18"/>
      <c r="N415" s="18"/>
      <c r="O415" s="21"/>
      <c r="P415" s="21"/>
      <c r="Q415" s="21"/>
      <c r="R415" s="21"/>
      <c r="S415" s="21"/>
      <c r="T415" s="21"/>
    </row>
    <row r="416" ht="26.55" customHeight="1">
      <c r="A416" t="s" s="15">
        <v>1649</v>
      </c>
      <c r="B416" s="16">
        <v>2014</v>
      </c>
      <c r="C416" t="s" s="15">
        <v>1650</v>
      </c>
      <c r="D416" t="s" s="17">
        <v>1651</v>
      </c>
      <c r="E416" t="s" s="17">
        <v>1652</v>
      </c>
      <c r="F416" s="18"/>
      <c r="G416" s="19">
        <v>2</v>
      </c>
      <c r="H416" t="s" s="20">
        <v>25</v>
      </c>
      <c r="I416" t="s" s="17">
        <v>26</v>
      </c>
      <c r="J416" t="s" s="17">
        <v>61</v>
      </c>
      <c r="K416" s="18"/>
      <c r="L416" s="18"/>
      <c r="M416" s="18"/>
      <c r="N416" s="18"/>
      <c r="O416" s="21"/>
      <c r="P416" s="21"/>
      <c r="Q416" s="21"/>
      <c r="R416" s="21"/>
      <c r="S416" s="21"/>
      <c r="T416" s="21"/>
    </row>
    <row r="417" ht="30" customHeight="1">
      <c r="A417" t="s" s="15">
        <v>1653</v>
      </c>
      <c r="B417" s="16">
        <v>2022</v>
      </c>
      <c r="C417" t="s" s="15">
        <v>1650</v>
      </c>
      <c r="D417" t="s" s="17">
        <v>1654</v>
      </c>
      <c r="E417" t="s" s="17">
        <v>1655</v>
      </c>
      <c r="F417" s="18"/>
      <c r="G417" s="19">
        <v>3</v>
      </c>
      <c r="H417" t="s" s="20">
        <v>46</v>
      </c>
      <c r="I417" t="s" s="17">
        <v>42</v>
      </c>
      <c r="J417" s="18"/>
      <c r="K417" t="s" s="17">
        <v>43</v>
      </c>
      <c r="L417" t="s" s="17">
        <v>42</v>
      </c>
      <c r="M417" t="s" s="17">
        <v>44</v>
      </c>
      <c r="N417" s="18"/>
      <c r="O417" t="s" s="20">
        <v>1656</v>
      </c>
      <c r="P417" t="s" s="20">
        <v>25</v>
      </c>
      <c r="Q417" s="21"/>
      <c r="R417" s="21"/>
      <c r="S417" s="21"/>
      <c r="T417" s="21"/>
    </row>
    <row r="418" ht="45" customHeight="1">
      <c r="A418" t="s" s="15">
        <v>1657</v>
      </c>
      <c r="B418" s="16">
        <v>2018</v>
      </c>
      <c r="C418" t="s" s="15">
        <v>1658</v>
      </c>
      <c r="D418" t="s" s="17">
        <v>1659</v>
      </c>
      <c r="E418" t="s" s="17">
        <v>1660</v>
      </c>
      <c r="F418" s="18"/>
      <c r="G418" s="19">
        <v>2</v>
      </c>
      <c r="H418" t="s" s="20">
        <v>25</v>
      </c>
      <c r="I418" t="s" s="17">
        <v>42</v>
      </c>
      <c r="J418" s="18"/>
      <c r="K418" t="s" s="17">
        <v>43</v>
      </c>
      <c r="L418" t="s" s="17">
        <v>26</v>
      </c>
      <c r="M418" s="18"/>
      <c r="N418" t="s" s="17">
        <v>220</v>
      </c>
      <c r="O418" t="s" s="20">
        <v>1661</v>
      </c>
      <c r="P418" s="21"/>
      <c r="Q418" s="21"/>
      <c r="R418" s="21"/>
      <c r="S418" s="21"/>
      <c r="T418" s="21"/>
    </row>
    <row r="419" ht="30" customHeight="1">
      <c r="A419" t="s" s="15">
        <v>1662</v>
      </c>
      <c r="B419" s="16">
        <v>2009</v>
      </c>
      <c r="C419" t="s" s="15">
        <v>1663</v>
      </c>
      <c r="D419" t="s" s="17">
        <v>1664</v>
      </c>
      <c r="E419" t="s" s="17">
        <v>1665</v>
      </c>
      <c r="F419" s="18"/>
      <c r="G419" s="19">
        <v>3</v>
      </c>
      <c r="H419" t="s" s="20">
        <v>46</v>
      </c>
      <c r="I419" t="s" s="17">
        <v>26</v>
      </c>
      <c r="J419" t="s" s="17">
        <v>27</v>
      </c>
      <c r="K419" t="s" s="17">
        <v>86</v>
      </c>
      <c r="L419" s="18"/>
      <c r="M419" s="18"/>
      <c r="N419" s="18"/>
      <c r="O419" s="21"/>
      <c r="P419" s="21"/>
      <c r="Q419" s="21"/>
      <c r="R419" s="21"/>
      <c r="S419" s="21"/>
      <c r="T419" s="21"/>
    </row>
    <row r="420" ht="30" customHeight="1">
      <c r="A420" t="s" s="15">
        <v>1666</v>
      </c>
      <c r="B420" s="16">
        <v>2013</v>
      </c>
      <c r="C420" t="s" s="15">
        <v>1663</v>
      </c>
      <c r="D420" t="s" s="17">
        <v>1667</v>
      </c>
      <c r="E420" t="s" s="17">
        <v>1668</v>
      </c>
      <c r="F420" t="s" s="17">
        <v>1669</v>
      </c>
      <c r="G420" s="19">
        <v>3</v>
      </c>
      <c r="H420" t="s" s="20">
        <v>46</v>
      </c>
      <c r="I420" t="s" s="17">
        <v>42</v>
      </c>
      <c r="J420" s="18"/>
      <c r="K420" t="s" s="17">
        <v>1670</v>
      </c>
      <c r="L420" t="s" s="17">
        <v>42</v>
      </c>
      <c r="M420" t="s" s="17">
        <v>212</v>
      </c>
      <c r="N420" s="18"/>
      <c r="O420" t="s" s="20">
        <v>1671</v>
      </c>
      <c r="P420" t="s" s="20">
        <v>46</v>
      </c>
      <c r="Q420" s="21"/>
      <c r="R420" s="21"/>
      <c r="S420" s="21"/>
      <c r="T420" s="21"/>
    </row>
    <row r="421" ht="30" customHeight="1">
      <c r="A421" t="s" s="15">
        <v>1672</v>
      </c>
      <c r="B421" s="16">
        <v>2019</v>
      </c>
      <c r="C421" t="s" s="15">
        <v>1663</v>
      </c>
      <c r="D421" t="s" s="17">
        <v>1673</v>
      </c>
      <c r="E421" t="s" s="17">
        <v>1674</v>
      </c>
      <c r="F421" t="s" s="17">
        <v>1669</v>
      </c>
      <c r="G421" s="19">
        <v>3</v>
      </c>
      <c r="H421" t="s" s="20">
        <v>46</v>
      </c>
      <c r="I421" t="s" s="17">
        <v>42</v>
      </c>
      <c r="J421" s="18"/>
      <c r="K421" t="s" s="17">
        <v>1675</v>
      </c>
      <c r="L421" t="s" s="17">
        <v>42</v>
      </c>
      <c r="M421" t="s" s="17">
        <v>212</v>
      </c>
      <c r="N421" s="18"/>
      <c r="O421" t="s" s="20">
        <v>1676</v>
      </c>
      <c r="P421" t="s" s="20">
        <v>46</v>
      </c>
      <c r="Q421" s="21"/>
      <c r="R421" s="21"/>
      <c r="S421" s="21"/>
      <c r="T421" s="21"/>
    </row>
    <row r="422" ht="30" customHeight="1">
      <c r="A422" t="s" s="15">
        <v>1677</v>
      </c>
      <c r="B422" s="16">
        <v>2021</v>
      </c>
      <c r="C422" t="s" s="15">
        <v>1663</v>
      </c>
      <c r="D422" t="s" s="17">
        <v>1678</v>
      </c>
      <c r="E422" t="s" s="17">
        <v>1679</v>
      </c>
      <c r="F422" s="18"/>
      <c r="G422" s="19">
        <v>2</v>
      </c>
      <c r="H422" t="s" s="20">
        <v>25</v>
      </c>
      <c r="I422" t="s" s="17">
        <v>42</v>
      </c>
      <c r="J422" s="18"/>
      <c r="K422" t="s" s="17">
        <v>241</v>
      </c>
      <c r="L422" t="s" s="17">
        <v>42</v>
      </c>
      <c r="M422" t="s" s="17">
        <v>505</v>
      </c>
      <c r="N422" s="18"/>
      <c r="O422" s="21"/>
      <c r="P422" t="s" s="20">
        <v>25</v>
      </c>
      <c r="Q422" s="21"/>
      <c r="R422" s="21"/>
      <c r="S422" s="21"/>
      <c r="T422" s="21"/>
    </row>
    <row r="423" ht="30" customHeight="1">
      <c r="A423" t="s" s="15">
        <v>1680</v>
      </c>
      <c r="B423" s="16">
        <v>2008</v>
      </c>
      <c r="C423" t="s" s="15">
        <v>1681</v>
      </c>
      <c r="D423" t="s" s="17">
        <v>1682</v>
      </c>
      <c r="E423" t="s" s="17">
        <v>1683</v>
      </c>
      <c r="F423" s="18"/>
      <c r="G423" s="19">
        <v>2</v>
      </c>
      <c r="H423" t="s" s="20">
        <v>25</v>
      </c>
      <c r="I423" t="s" s="17">
        <v>26</v>
      </c>
      <c r="J423" t="s" s="17">
        <v>27</v>
      </c>
      <c r="K423" s="18"/>
      <c r="L423" s="18"/>
      <c r="M423" s="18"/>
      <c r="N423" s="18"/>
      <c r="O423" s="21"/>
      <c r="P423" s="21"/>
      <c r="Q423" s="21"/>
      <c r="R423" s="21"/>
      <c r="S423" s="21"/>
      <c r="T423" s="21"/>
    </row>
    <row r="424" ht="30" customHeight="1">
      <c r="A424" t="s" s="15">
        <v>1684</v>
      </c>
      <c r="B424" s="16">
        <v>2013</v>
      </c>
      <c r="C424" t="s" s="15">
        <v>1681</v>
      </c>
      <c r="D424" t="s" s="17">
        <v>1685</v>
      </c>
      <c r="E424" s="18"/>
      <c r="F424" s="18"/>
      <c r="G424" s="19">
        <v>2</v>
      </c>
      <c r="H424" t="s" s="20">
        <v>25</v>
      </c>
      <c r="I424" t="s" s="17">
        <v>26</v>
      </c>
      <c r="J424" t="s" s="17">
        <v>31</v>
      </c>
      <c r="K424" t="s" s="17">
        <v>1055</v>
      </c>
      <c r="L424" t="s" s="17">
        <v>26</v>
      </c>
      <c r="M424" s="18"/>
      <c r="N424" s="18"/>
      <c r="O424" s="21"/>
      <c r="P424" s="21"/>
      <c r="Q424" s="21"/>
      <c r="R424" s="21"/>
      <c r="S424" s="21"/>
      <c r="T424" s="21"/>
    </row>
    <row r="425" ht="30" customHeight="1">
      <c r="A425" t="s" s="15">
        <v>1686</v>
      </c>
      <c r="B425" s="16">
        <v>2018</v>
      </c>
      <c r="C425" t="s" s="15">
        <v>1687</v>
      </c>
      <c r="D425" t="s" s="17">
        <v>1688</v>
      </c>
      <c r="E425" t="s" s="17">
        <v>1689</v>
      </c>
      <c r="F425" s="18"/>
      <c r="G425" s="19">
        <v>3</v>
      </c>
      <c r="H425" t="s" s="20">
        <v>46</v>
      </c>
      <c r="I425" t="s" s="17">
        <v>26</v>
      </c>
      <c r="J425" t="s" s="17">
        <v>31</v>
      </c>
      <c r="K425" t="s" s="17">
        <v>80</v>
      </c>
      <c r="L425" s="18"/>
      <c r="M425" s="18"/>
      <c r="N425" s="18"/>
      <c r="O425" s="21"/>
      <c r="P425" s="21"/>
      <c r="Q425" s="21"/>
      <c r="R425" s="21"/>
      <c r="S425" s="21"/>
      <c r="T425" s="21"/>
    </row>
    <row r="426" ht="30" customHeight="1">
      <c r="A426" t="s" s="15">
        <v>1690</v>
      </c>
      <c r="B426" s="16">
        <v>2008</v>
      </c>
      <c r="C426" t="s" s="15">
        <v>1691</v>
      </c>
      <c r="D426" t="s" s="17">
        <v>1692</v>
      </c>
      <c r="E426" t="s" s="17">
        <v>1693</v>
      </c>
      <c r="F426" s="18"/>
      <c r="G426" s="19">
        <v>2</v>
      </c>
      <c r="H426" t="s" s="20">
        <v>25</v>
      </c>
      <c r="I426" t="s" s="17">
        <v>42</v>
      </c>
      <c r="J426" s="18"/>
      <c r="K426" t="s" s="17">
        <v>43</v>
      </c>
      <c r="L426" t="s" s="17">
        <v>42</v>
      </c>
      <c r="M426" t="s" s="17">
        <v>44</v>
      </c>
      <c r="N426" s="18"/>
      <c r="O426" s="21"/>
      <c r="P426" t="s" s="20">
        <v>46</v>
      </c>
      <c r="Q426" t="s" s="20">
        <v>47</v>
      </c>
      <c r="R426" t="s" s="20">
        <v>1694</v>
      </c>
      <c r="S426" t="s" s="20">
        <v>47</v>
      </c>
      <c r="T426" s="21"/>
    </row>
    <row r="427" ht="30" customHeight="1">
      <c r="A427" t="s" s="15">
        <v>1695</v>
      </c>
      <c r="B427" s="16">
        <v>2023</v>
      </c>
      <c r="C427" t="s" s="15">
        <v>1696</v>
      </c>
      <c r="D427" t="s" s="17">
        <v>1697</v>
      </c>
      <c r="E427" t="s" s="17">
        <v>1698</v>
      </c>
      <c r="F427" s="18"/>
      <c r="G427" s="19">
        <v>2</v>
      </c>
      <c r="H427" t="s" s="20">
        <v>25</v>
      </c>
      <c r="I427" t="s" s="17">
        <v>26</v>
      </c>
      <c r="J427" t="s" s="17">
        <v>436</v>
      </c>
      <c r="K427" s="18"/>
      <c r="L427" s="18"/>
      <c r="M427" s="18"/>
      <c r="N427" s="18"/>
      <c r="O427" s="21"/>
      <c r="P427" s="21"/>
      <c r="Q427" s="21"/>
      <c r="R427" s="21"/>
      <c r="S427" s="21"/>
      <c r="T427" s="21"/>
    </row>
    <row r="428" ht="30" customHeight="1">
      <c r="A428" t="s" s="15">
        <v>1699</v>
      </c>
      <c r="B428" s="16">
        <v>2014</v>
      </c>
      <c r="C428" t="s" s="15">
        <v>1700</v>
      </c>
      <c r="D428" t="s" s="17">
        <v>1701</v>
      </c>
      <c r="E428" t="s" s="17">
        <v>1702</v>
      </c>
      <c r="F428" s="18"/>
      <c r="G428" s="19">
        <v>3</v>
      </c>
      <c r="H428" t="s" s="20">
        <v>46</v>
      </c>
      <c r="I428" t="s" s="17">
        <v>42</v>
      </c>
      <c r="J428" t="s" s="17">
        <v>93</v>
      </c>
      <c r="K428" t="s" s="17">
        <v>262</v>
      </c>
      <c r="L428" s="18"/>
      <c r="M428" s="18"/>
      <c r="N428" s="18"/>
      <c r="O428" s="21"/>
      <c r="P428" s="21"/>
      <c r="Q428" s="21"/>
      <c r="R428" s="21"/>
      <c r="S428" s="21"/>
      <c r="T428" s="21"/>
    </row>
    <row r="429" ht="30" customHeight="1">
      <c r="A429" t="s" s="15">
        <v>1703</v>
      </c>
      <c r="B429" s="16">
        <v>2008</v>
      </c>
      <c r="C429" t="s" s="15">
        <v>1704</v>
      </c>
      <c r="D429" t="s" s="17">
        <v>1705</v>
      </c>
      <c r="E429" t="s" s="17">
        <v>1706</v>
      </c>
      <c r="F429" s="18"/>
      <c r="G429" s="19">
        <v>3</v>
      </c>
      <c r="H429" t="s" s="20">
        <v>46</v>
      </c>
      <c r="I429" t="s" s="17">
        <v>26</v>
      </c>
      <c r="J429" t="s" s="17">
        <v>31</v>
      </c>
      <c r="K429" s="18"/>
      <c r="L429" s="18"/>
      <c r="M429" s="18"/>
      <c r="N429" s="18"/>
      <c r="O429" s="21"/>
      <c r="P429" s="21"/>
      <c r="Q429" s="21"/>
      <c r="R429" s="21"/>
      <c r="S429" s="21"/>
      <c r="T429" s="21"/>
    </row>
    <row r="430" ht="30" customHeight="1">
      <c r="A430" t="s" s="15">
        <v>1707</v>
      </c>
      <c r="B430" s="16">
        <v>2017</v>
      </c>
      <c r="C430" t="s" s="15">
        <v>1708</v>
      </c>
      <c r="D430" t="s" s="17">
        <v>1709</v>
      </c>
      <c r="E430" t="s" s="17">
        <v>1710</v>
      </c>
      <c r="F430" s="18"/>
      <c r="G430" s="19">
        <v>2</v>
      </c>
      <c r="H430" t="s" s="20">
        <v>25</v>
      </c>
      <c r="I430" t="s" s="17">
        <v>26</v>
      </c>
      <c r="J430" t="s" s="17">
        <v>61</v>
      </c>
      <c r="K430" s="18"/>
      <c r="L430" s="18"/>
      <c r="M430" s="18"/>
      <c r="N430" s="18"/>
      <c r="O430" s="21"/>
      <c r="P430" s="21"/>
      <c r="Q430" s="21"/>
      <c r="R430" s="21"/>
      <c r="S430" s="21"/>
      <c r="T430" s="21"/>
    </row>
    <row r="431" ht="30" customHeight="1">
      <c r="A431" t="s" s="15">
        <v>1711</v>
      </c>
      <c r="B431" s="16">
        <v>2021</v>
      </c>
      <c r="C431" t="s" s="15">
        <v>1712</v>
      </c>
      <c r="D431" t="s" s="17">
        <v>1713</v>
      </c>
      <c r="E431" t="s" s="17">
        <v>1714</v>
      </c>
      <c r="F431" s="18"/>
      <c r="G431" s="19">
        <v>3</v>
      </c>
      <c r="H431" t="s" s="20">
        <v>46</v>
      </c>
      <c r="I431" t="s" s="17">
        <v>42</v>
      </c>
      <c r="J431" s="18"/>
      <c r="K431" t="s" s="17">
        <v>43</v>
      </c>
      <c r="L431" t="s" s="17">
        <v>42</v>
      </c>
      <c r="M431" t="s" s="17">
        <v>44</v>
      </c>
      <c r="N431" s="18"/>
      <c r="O431" s="21"/>
      <c r="P431" t="s" s="20">
        <v>25</v>
      </c>
      <c r="Q431" s="21"/>
      <c r="R431" s="21"/>
      <c r="S431" s="21"/>
      <c r="T431" s="21"/>
    </row>
    <row r="432" ht="45" customHeight="1">
      <c r="A432" t="s" s="15">
        <v>1715</v>
      </c>
      <c r="B432" s="16">
        <v>2022</v>
      </c>
      <c r="C432" t="s" s="15">
        <v>1712</v>
      </c>
      <c r="D432" t="s" s="17">
        <v>1716</v>
      </c>
      <c r="E432" t="s" s="17">
        <v>1717</v>
      </c>
      <c r="F432" s="18"/>
      <c r="G432" s="19">
        <v>2</v>
      </c>
      <c r="H432" t="s" s="20">
        <v>25</v>
      </c>
      <c r="I432" t="s" s="17">
        <v>26</v>
      </c>
      <c r="J432" t="s" s="17">
        <v>93</v>
      </c>
      <c r="K432" s="18"/>
      <c r="L432" s="18"/>
      <c r="M432" s="18"/>
      <c r="N432" s="18"/>
      <c r="O432" s="21"/>
      <c r="P432" s="21"/>
      <c r="Q432" s="21"/>
      <c r="R432" s="21"/>
      <c r="S432" s="21"/>
      <c r="T432" s="21"/>
    </row>
    <row r="433" ht="30" customHeight="1">
      <c r="A433" t="s" s="15">
        <v>1718</v>
      </c>
      <c r="B433" s="16">
        <v>2019</v>
      </c>
      <c r="C433" t="s" s="15">
        <v>1719</v>
      </c>
      <c r="D433" t="s" s="17">
        <v>1720</v>
      </c>
      <c r="E433" t="s" s="17">
        <v>1721</v>
      </c>
      <c r="F433" s="18"/>
      <c r="G433" s="19">
        <v>2</v>
      </c>
      <c r="H433" t="s" s="20">
        <v>25</v>
      </c>
      <c r="I433" t="s" s="17">
        <v>26</v>
      </c>
      <c r="J433" t="s" s="17">
        <v>27</v>
      </c>
      <c r="K433" s="18"/>
      <c r="L433" s="18"/>
      <c r="M433" s="18"/>
      <c r="N433" s="18"/>
      <c r="O433" s="21"/>
      <c r="P433" s="21"/>
      <c r="Q433" s="21"/>
      <c r="R433" s="21"/>
      <c r="S433" s="21"/>
      <c r="T433" s="21"/>
    </row>
    <row r="434" ht="39.55" customHeight="1">
      <c r="A434" t="s" s="15">
        <v>1722</v>
      </c>
      <c r="B434" s="16">
        <v>2016</v>
      </c>
      <c r="C434" t="s" s="15">
        <v>1723</v>
      </c>
      <c r="D434" t="s" s="17">
        <v>1724</v>
      </c>
      <c r="E434" t="s" s="17">
        <v>1725</v>
      </c>
      <c r="F434" s="18"/>
      <c r="G434" s="19">
        <v>3</v>
      </c>
      <c r="H434" t="s" s="20">
        <v>46</v>
      </c>
      <c r="I434" t="s" s="17">
        <v>26</v>
      </c>
      <c r="J434" t="s" s="17">
        <v>31</v>
      </c>
      <c r="K434" t="s" s="17">
        <v>86</v>
      </c>
      <c r="L434" s="18"/>
      <c r="M434" s="18"/>
      <c r="N434" s="18"/>
      <c r="O434" s="21"/>
      <c r="P434" s="21"/>
      <c r="Q434" s="21"/>
      <c r="R434" s="21"/>
      <c r="S434" s="21"/>
      <c r="T434" s="21"/>
    </row>
    <row r="435" ht="30" customHeight="1">
      <c r="A435" t="s" s="15">
        <v>1726</v>
      </c>
      <c r="B435" s="16">
        <v>2016</v>
      </c>
      <c r="C435" t="s" s="15">
        <v>1727</v>
      </c>
      <c r="D435" t="s" s="17">
        <v>1728</v>
      </c>
      <c r="E435" t="s" s="17">
        <v>1729</v>
      </c>
      <c r="F435" s="18"/>
      <c r="G435" s="19">
        <v>3</v>
      </c>
      <c r="H435" t="s" s="20">
        <v>46</v>
      </c>
      <c r="I435" t="s" s="17">
        <v>26</v>
      </c>
      <c r="J435" t="s" s="17">
        <v>405</v>
      </c>
      <c r="K435" t="s" s="17">
        <v>80</v>
      </c>
      <c r="L435" s="18"/>
      <c r="M435" s="18"/>
      <c r="N435" s="18"/>
      <c r="O435" s="21"/>
      <c r="P435" s="21"/>
      <c r="Q435" s="21"/>
      <c r="R435" s="21"/>
      <c r="S435" s="21"/>
      <c r="T435" s="21"/>
    </row>
    <row r="436" ht="30" customHeight="1">
      <c r="A436" t="s" s="15">
        <v>1730</v>
      </c>
      <c r="B436" s="16">
        <v>2023</v>
      </c>
      <c r="C436" t="s" s="15">
        <v>1731</v>
      </c>
      <c r="D436" t="s" s="17">
        <v>1732</v>
      </c>
      <c r="E436" t="s" s="17">
        <v>1733</v>
      </c>
      <c r="F436" s="18"/>
      <c r="G436" s="19">
        <v>3</v>
      </c>
      <c r="H436" t="s" s="20">
        <v>46</v>
      </c>
      <c r="I436" t="s" s="17">
        <v>26</v>
      </c>
      <c r="J436" t="s" s="17">
        <v>31</v>
      </c>
      <c r="K436" t="s" s="17">
        <v>80</v>
      </c>
      <c r="L436" s="18"/>
      <c r="M436" s="18"/>
      <c r="N436" s="18"/>
      <c r="O436" s="21"/>
      <c r="P436" s="21"/>
      <c r="Q436" s="21"/>
      <c r="R436" s="21"/>
      <c r="S436" s="21"/>
      <c r="T436" s="21"/>
    </row>
    <row r="437" ht="30" customHeight="1">
      <c r="A437" t="s" s="15">
        <v>1734</v>
      </c>
      <c r="B437" s="16">
        <v>2021</v>
      </c>
      <c r="C437" t="s" s="15">
        <v>1735</v>
      </c>
      <c r="D437" t="s" s="17">
        <v>1736</v>
      </c>
      <c r="E437" t="s" s="17">
        <v>1737</v>
      </c>
      <c r="F437" s="18"/>
      <c r="G437" s="19">
        <v>2</v>
      </c>
      <c r="H437" t="s" s="20">
        <v>25</v>
      </c>
      <c r="I437" t="s" s="17">
        <v>26</v>
      </c>
      <c r="J437" t="s" s="17">
        <v>187</v>
      </c>
      <c r="K437" s="18"/>
      <c r="L437" s="18"/>
      <c r="M437" s="18"/>
      <c r="N437" s="18"/>
      <c r="O437" s="21"/>
      <c r="P437" s="21"/>
      <c r="Q437" s="21"/>
      <c r="R437" s="21"/>
      <c r="S437" s="21"/>
      <c r="T437" s="21"/>
    </row>
    <row r="438" ht="30" customHeight="1">
      <c r="A438" t="s" s="15">
        <v>1738</v>
      </c>
      <c r="B438" s="16">
        <v>2007</v>
      </c>
      <c r="C438" t="s" s="15">
        <v>1739</v>
      </c>
      <c r="D438" t="s" s="17">
        <v>1740</v>
      </c>
      <c r="E438" t="s" s="17">
        <v>1741</v>
      </c>
      <c r="F438" s="18"/>
      <c r="G438" s="19">
        <v>2</v>
      </c>
      <c r="H438" t="s" s="20">
        <v>25</v>
      </c>
      <c r="I438" t="s" s="17">
        <v>26</v>
      </c>
      <c r="J438" t="s" s="17">
        <v>31</v>
      </c>
      <c r="K438" s="18"/>
      <c r="L438" s="18"/>
      <c r="M438" s="18"/>
      <c r="N438" s="18"/>
      <c r="O438" s="21"/>
      <c r="P438" s="21"/>
      <c r="Q438" s="21"/>
      <c r="R438" s="21"/>
      <c r="S438" s="21"/>
      <c r="T438" s="21"/>
    </row>
    <row r="439" ht="30" customHeight="1">
      <c r="A439" t="s" s="15">
        <v>1742</v>
      </c>
      <c r="B439" s="16">
        <v>2016</v>
      </c>
      <c r="C439" t="s" s="15">
        <v>1743</v>
      </c>
      <c r="D439" t="s" s="17">
        <v>1744</v>
      </c>
      <c r="E439" t="s" s="17">
        <v>1745</v>
      </c>
      <c r="F439" s="18"/>
      <c r="G439" s="19">
        <v>2</v>
      </c>
      <c r="H439" t="s" s="20">
        <v>25</v>
      </c>
      <c r="I439" t="s" s="17">
        <v>26</v>
      </c>
      <c r="J439" t="s" s="17">
        <v>102</v>
      </c>
      <c r="K439" s="18"/>
      <c r="L439" s="18"/>
      <c r="M439" s="18"/>
      <c r="N439" s="18"/>
      <c r="O439" s="21"/>
      <c r="P439" s="21"/>
      <c r="Q439" s="21"/>
      <c r="R439" s="21"/>
      <c r="S439" s="21"/>
      <c r="T439" s="21"/>
    </row>
    <row r="440" ht="30" customHeight="1">
      <c r="A440" t="s" s="15">
        <v>1746</v>
      </c>
      <c r="B440" s="16">
        <v>2015</v>
      </c>
      <c r="C440" t="s" s="15">
        <v>1747</v>
      </c>
      <c r="D440" t="s" s="17">
        <v>1748</v>
      </c>
      <c r="E440" t="s" s="17">
        <v>1749</v>
      </c>
      <c r="F440" s="18"/>
      <c r="G440" s="19">
        <v>2</v>
      </c>
      <c r="H440" t="s" s="20">
        <v>25</v>
      </c>
      <c r="I440" t="s" s="17">
        <v>26</v>
      </c>
      <c r="J440" t="s" s="17">
        <v>93</v>
      </c>
      <c r="K440" s="18"/>
      <c r="L440" s="18"/>
      <c r="M440" s="18"/>
      <c r="N440" s="18"/>
      <c r="O440" s="21"/>
      <c r="P440" s="21"/>
      <c r="Q440" s="21"/>
      <c r="R440" s="21"/>
      <c r="S440" s="21"/>
      <c r="T440" s="21"/>
    </row>
    <row r="441" ht="30" customHeight="1">
      <c r="A441" t="s" s="15">
        <v>1750</v>
      </c>
      <c r="B441" s="16">
        <v>2013</v>
      </c>
      <c r="C441" t="s" s="15">
        <v>1751</v>
      </c>
      <c r="D441" t="s" s="17">
        <v>1752</v>
      </c>
      <c r="E441" t="s" s="17">
        <v>1753</v>
      </c>
      <c r="F441" s="18"/>
      <c r="G441" s="19">
        <v>3</v>
      </c>
      <c r="H441" t="s" s="20">
        <v>46</v>
      </c>
      <c r="I441" t="s" s="17">
        <v>26</v>
      </c>
      <c r="J441" t="s" s="17">
        <v>1754</v>
      </c>
      <c r="K441" t="s" s="17">
        <v>80</v>
      </c>
      <c r="L441" s="18"/>
      <c r="M441" s="18"/>
      <c r="N441" s="18"/>
      <c r="O441" s="21"/>
      <c r="P441" s="21"/>
      <c r="Q441" s="21"/>
      <c r="R441" s="21"/>
      <c r="S441" s="21"/>
      <c r="T441" s="21"/>
    </row>
    <row r="442" ht="30" customHeight="1">
      <c r="A442" t="s" s="15">
        <v>1755</v>
      </c>
      <c r="B442" s="16">
        <v>2021</v>
      </c>
      <c r="C442" t="s" s="15">
        <v>1756</v>
      </c>
      <c r="D442" t="s" s="17">
        <v>1757</v>
      </c>
      <c r="E442" t="s" s="17">
        <v>1758</v>
      </c>
      <c r="F442" s="18"/>
      <c r="G442" s="19">
        <v>3</v>
      </c>
      <c r="H442" t="s" s="20">
        <v>46</v>
      </c>
      <c r="I442" t="s" s="17">
        <v>26</v>
      </c>
      <c r="J442" t="s" s="17">
        <v>93</v>
      </c>
      <c r="K442" t="s" s="17">
        <v>267</v>
      </c>
      <c r="L442" s="18"/>
      <c r="M442" s="18"/>
      <c r="N442" s="18"/>
      <c r="O442" s="21"/>
      <c r="P442" s="21"/>
      <c r="Q442" s="21"/>
      <c r="R442" s="21"/>
      <c r="S442" s="21"/>
      <c r="T442" s="21"/>
    </row>
    <row r="443" ht="30" customHeight="1">
      <c r="A443" t="s" s="15">
        <v>1759</v>
      </c>
      <c r="B443" s="16">
        <v>2017</v>
      </c>
      <c r="C443" t="s" s="15">
        <v>1760</v>
      </c>
      <c r="D443" t="s" s="17">
        <v>1761</v>
      </c>
      <c r="E443" t="s" s="17">
        <v>1762</v>
      </c>
      <c r="F443" s="18"/>
      <c r="G443" s="19">
        <v>2</v>
      </c>
      <c r="H443" t="s" s="20">
        <v>25</v>
      </c>
      <c r="I443" t="s" s="17">
        <v>26</v>
      </c>
      <c r="J443" t="s" s="17">
        <v>178</v>
      </c>
      <c r="K443" s="18"/>
      <c r="L443" s="18"/>
      <c r="M443" s="18"/>
      <c r="N443" s="18"/>
      <c r="O443" s="21"/>
      <c r="P443" s="21"/>
      <c r="Q443" s="21"/>
      <c r="R443" s="21"/>
      <c r="S443" s="21"/>
      <c r="T443" s="21"/>
    </row>
    <row r="444" ht="30" customHeight="1">
      <c r="A444" t="s" s="15">
        <v>1763</v>
      </c>
      <c r="B444" s="16">
        <v>2021</v>
      </c>
      <c r="C444" t="s" s="15">
        <v>1764</v>
      </c>
      <c r="D444" t="s" s="17">
        <v>1765</v>
      </c>
      <c r="E444" t="s" s="17">
        <v>1766</v>
      </c>
      <c r="F444" s="18"/>
      <c r="G444" s="19">
        <v>3</v>
      </c>
      <c r="H444" t="s" s="20">
        <v>46</v>
      </c>
      <c r="I444" t="s" s="17">
        <v>26</v>
      </c>
      <c r="J444" t="s" s="17">
        <v>405</v>
      </c>
      <c r="K444" t="s" s="17">
        <v>80</v>
      </c>
      <c r="L444" s="18"/>
      <c r="M444" s="18"/>
      <c r="N444" s="18"/>
      <c r="O444" s="21"/>
      <c r="P444" s="21"/>
      <c r="Q444" s="21"/>
      <c r="R444" s="21"/>
      <c r="S444" s="21"/>
      <c r="T444" s="21"/>
    </row>
    <row r="445" ht="30" customHeight="1">
      <c r="A445" t="s" s="15">
        <v>1767</v>
      </c>
      <c r="B445" s="16">
        <v>2022</v>
      </c>
      <c r="C445" t="s" s="15">
        <v>1768</v>
      </c>
      <c r="D445" t="s" s="17">
        <v>1769</v>
      </c>
      <c r="E445" t="s" s="17">
        <v>1770</v>
      </c>
      <c r="F445" s="18"/>
      <c r="G445" s="19">
        <v>3</v>
      </c>
      <c r="H445" t="s" s="20">
        <v>46</v>
      </c>
      <c r="I445" t="s" s="17">
        <v>26</v>
      </c>
      <c r="J445" t="s" s="17">
        <v>31</v>
      </c>
      <c r="K445" t="s" s="17">
        <v>86</v>
      </c>
      <c r="L445" s="18"/>
      <c r="M445" s="18"/>
      <c r="N445" s="18"/>
      <c r="O445" s="21"/>
      <c r="P445" s="21"/>
      <c r="Q445" s="21"/>
      <c r="R445" s="21"/>
      <c r="S445" s="21"/>
      <c r="T445" s="21"/>
    </row>
    <row r="446" ht="30" customHeight="1">
      <c r="A446" t="s" s="15">
        <v>1771</v>
      </c>
      <c r="B446" s="16">
        <v>2012</v>
      </c>
      <c r="C446" t="s" s="15">
        <v>1772</v>
      </c>
      <c r="D446" t="s" s="17">
        <v>1773</v>
      </c>
      <c r="E446" t="s" s="17">
        <v>1774</v>
      </c>
      <c r="F446" s="18"/>
      <c r="G446" s="19">
        <v>2</v>
      </c>
      <c r="H446" t="s" s="20">
        <v>25</v>
      </c>
      <c r="I446" t="s" s="17">
        <v>26</v>
      </c>
      <c r="J446" t="s" s="17">
        <v>93</v>
      </c>
      <c r="K446" s="18"/>
      <c r="L446" s="18"/>
      <c r="M446" s="18"/>
      <c r="N446" s="18"/>
      <c r="O446" s="21"/>
      <c r="P446" s="21"/>
      <c r="Q446" s="21"/>
      <c r="R446" s="21"/>
      <c r="S446" s="21"/>
      <c r="T446" s="21"/>
    </row>
    <row r="447" ht="30" customHeight="1">
      <c r="A447" t="s" s="15">
        <v>1775</v>
      </c>
      <c r="B447" s="16">
        <v>2016</v>
      </c>
      <c r="C447" t="s" s="15">
        <v>1776</v>
      </c>
      <c r="D447" t="s" s="17">
        <v>1777</v>
      </c>
      <c r="E447" t="s" s="17">
        <v>1778</v>
      </c>
      <c r="F447" s="18"/>
      <c r="G447" s="19">
        <v>3</v>
      </c>
      <c r="H447" t="s" s="20">
        <v>46</v>
      </c>
      <c r="I447" t="s" s="17">
        <v>26</v>
      </c>
      <c r="J447" t="s" s="17">
        <v>93</v>
      </c>
      <c r="K447" t="s" s="17">
        <v>1779</v>
      </c>
      <c r="L447" s="18"/>
      <c r="M447" s="18"/>
      <c r="N447" s="18"/>
      <c r="O447" s="21"/>
      <c r="P447" s="21"/>
      <c r="Q447" s="21"/>
      <c r="R447" s="21"/>
      <c r="S447" s="21"/>
      <c r="T447" s="21"/>
    </row>
    <row r="448" ht="30" customHeight="1">
      <c r="A448" t="s" s="15">
        <v>1780</v>
      </c>
      <c r="B448" s="16">
        <v>2008</v>
      </c>
      <c r="C448" t="s" s="15">
        <v>1781</v>
      </c>
      <c r="D448" t="s" s="17">
        <v>1782</v>
      </c>
      <c r="E448" t="s" s="17">
        <v>1783</v>
      </c>
      <c r="F448" s="18"/>
      <c r="G448" s="19">
        <v>2</v>
      </c>
      <c r="H448" t="s" s="20">
        <v>25</v>
      </c>
      <c r="I448" t="s" s="17">
        <v>26</v>
      </c>
      <c r="J448" t="s" s="17">
        <v>102</v>
      </c>
      <c r="K448" s="18"/>
      <c r="L448" s="18"/>
      <c r="M448" s="18"/>
      <c r="N448" s="18"/>
      <c r="O448" s="21"/>
      <c r="P448" s="21"/>
      <c r="Q448" s="21"/>
      <c r="R448" s="21"/>
      <c r="S448" s="21"/>
      <c r="T448" s="21"/>
    </row>
    <row r="449" ht="30" customHeight="1">
      <c r="A449" t="s" s="15">
        <v>1784</v>
      </c>
      <c r="B449" s="16">
        <v>2008</v>
      </c>
      <c r="C449" t="s" s="15">
        <v>1781</v>
      </c>
      <c r="D449" t="s" s="17">
        <v>1782</v>
      </c>
      <c r="E449" t="s" s="17">
        <v>1785</v>
      </c>
      <c r="F449" s="18"/>
      <c r="G449" s="19">
        <v>3</v>
      </c>
      <c r="H449" t="s" s="20">
        <v>46</v>
      </c>
      <c r="I449" t="s" s="17">
        <v>26</v>
      </c>
      <c r="J449" t="s" s="17">
        <v>405</v>
      </c>
      <c r="K449" t="s" s="17">
        <v>80</v>
      </c>
      <c r="L449" s="18"/>
      <c r="M449" s="18"/>
      <c r="N449" s="18"/>
      <c r="O449" s="21"/>
      <c r="P449" s="21"/>
      <c r="Q449" s="21"/>
      <c r="R449" s="21"/>
      <c r="S449" s="21"/>
      <c r="T449" s="21"/>
    </row>
    <row r="450" ht="30" customHeight="1">
      <c r="A450" t="s" s="15">
        <v>1786</v>
      </c>
      <c r="B450" s="16">
        <v>2009</v>
      </c>
      <c r="C450" t="s" s="15">
        <v>1781</v>
      </c>
      <c r="D450" t="s" s="17">
        <v>1787</v>
      </c>
      <c r="E450" t="s" s="17">
        <v>1788</v>
      </c>
      <c r="F450" s="18"/>
      <c r="G450" s="19">
        <v>2</v>
      </c>
      <c r="H450" t="s" s="20">
        <v>25</v>
      </c>
      <c r="I450" t="s" s="17">
        <v>42</v>
      </c>
      <c r="J450" s="18"/>
      <c r="K450" t="s" s="17">
        <v>43</v>
      </c>
      <c r="L450" t="s" s="17">
        <v>42</v>
      </c>
      <c r="M450" t="s" s="17">
        <v>44</v>
      </c>
      <c r="N450" s="18"/>
      <c r="O450" s="21"/>
      <c r="P450" t="s" s="20">
        <v>46</v>
      </c>
      <c r="Q450" t="s" s="20">
        <v>277</v>
      </c>
      <c r="R450" s="21"/>
      <c r="S450" t="s" s="20">
        <v>47</v>
      </c>
      <c r="T450" t="s" s="17">
        <v>1789</v>
      </c>
    </row>
    <row r="451" ht="30" customHeight="1">
      <c r="A451" t="s" s="15">
        <v>1790</v>
      </c>
      <c r="B451" s="16">
        <v>2010</v>
      </c>
      <c r="C451" t="s" s="15">
        <v>1781</v>
      </c>
      <c r="D451" t="s" s="17">
        <v>1791</v>
      </c>
      <c r="E451" t="s" s="17">
        <v>1792</v>
      </c>
      <c r="F451" s="18"/>
      <c r="G451" s="19">
        <v>2</v>
      </c>
      <c r="H451" t="s" s="20">
        <v>25</v>
      </c>
      <c r="I451" t="s" s="17">
        <v>42</v>
      </c>
      <c r="J451" s="18"/>
      <c r="K451" t="s" s="17">
        <v>43</v>
      </c>
      <c r="L451" t="s" s="17">
        <v>42</v>
      </c>
      <c r="M451" t="s" s="17">
        <v>44</v>
      </c>
      <c r="N451" s="18"/>
      <c r="O451" t="s" s="20">
        <v>1793</v>
      </c>
      <c r="P451" t="s" s="20">
        <v>25</v>
      </c>
      <c r="Q451" s="21"/>
      <c r="R451" s="21"/>
      <c r="S451" s="21"/>
      <c r="T451" s="21"/>
    </row>
    <row r="452" ht="30" customHeight="1">
      <c r="A452" t="s" s="15">
        <v>1794</v>
      </c>
      <c r="B452" s="16">
        <v>2010</v>
      </c>
      <c r="C452" t="s" s="15">
        <v>1781</v>
      </c>
      <c r="D452" t="s" s="17">
        <v>1791</v>
      </c>
      <c r="E452" t="s" s="17">
        <v>1795</v>
      </c>
      <c r="F452" s="18"/>
      <c r="G452" s="19">
        <v>2</v>
      </c>
      <c r="H452" t="s" s="20">
        <v>25</v>
      </c>
      <c r="I452" t="s" s="17">
        <v>26</v>
      </c>
      <c r="J452" t="s" s="17">
        <v>31</v>
      </c>
      <c r="K452" s="18"/>
      <c r="L452" s="18"/>
      <c r="M452" s="18"/>
      <c r="N452" s="18"/>
      <c r="O452" s="21"/>
      <c r="P452" s="21"/>
      <c r="Q452" s="21"/>
      <c r="R452" s="21"/>
      <c r="S452" s="21"/>
      <c r="T452" s="21"/>
    </row>
    <row r="453" ht="30" customHeight="1">
      <c r="A453" t="s" s="15">
        <v>1796</v>
      </c>
      <c r="B453" s="16">
        <v>2013</v>
      </c>
      <c r="C453" t="s" s="15">
        <v>1781</v>
      </c>
      <c r="D453" t="s" s="17">
        <v>1797</v>
      </c>
      <c r="E453" t="s" s="17">
        <v>1798</v>
      </c>
      <c r="F453" s="18"/>
      <c r="G453" s="19">
        <v>2</v>
      </c>
      <c r="H453" t="s" s="20">
        <v>25</v>
      </c>
      <c r="I453" t="s" s="17">
        <v>42</v>
      </c>
      <c r="J453" s="18"/>
      <c r="K453" t="s" s="17">
        <v>43</v>
      </c>
      <c r="L453" t="s" s="17">
        <v>42</v>
      </c>
      <c r="M453" t="s" s="17">
        <v>44</v>
      </c>
      <c r="N453" s="18"/>
      <c r="O453" s="21"/>
      <c r="P453" t="s" s="20">
        <v>25</v>
      </c>
      <c r="Q453" s="21"/>
      <c r="R453" s="21"/>
      <c r="S453" s="21"/>
      <c r="T453" s="21"/>
    </row>
    <row r="454" ht="45" customHeight="1">
      <c r="A454" t="s" s="15">
        <v>1799</v>
      </c>
      <c r="B454" s="16">
        <v>2013</v>
      </c>
      <c r="C454" t="s" s="15">
        <v>1781</v>
      </c>
      <c r="D454" t="s" s="17">
        <v>1797</v>
      </c>
      <c r="E454" t="s" s="17">
        <v>1800</v>
      </c>
      <c r="F454" s="18"/>
      <c r="G454" s="19">
        <v>3</v>
      </c>
      <c r="H454" t="s" s="20">
        <v>25</v>
      </c>
      <c r="I454" t="s" s="17">
        <v>26</v>
      </c>
      <c r="J454" t="s" s="17">
        <v>38</v>
      </c>
      <c r="K454" s="18"/>
      <c r="L454" s="18"/>
      <c r="M454" s="18"/>
      <c r="N454" s="18"/>
      <c r="O454" s="21"/>
      <c r="P454" s="21"/>
      <c r="Q454" s="21"/>
      <c r="R454" s="21"/>
      <c r="S454" s="21"/>
      <c r="T454" s="21"/>
    </row>
    <row r="455" ht="39.55" customHeight="1">
      <c r="A455" t="s" s="15">
        <v>1801</v>
      </c>
      <c r="B455" s="16">
        <v>2014</v>
      </c>
      <c r="C455" t="s" s="15">
        <v>1781</v>
      </c>
      <c r="D455" t="s" s="17">
        <v>1802</v>
      </c>
      <c r="E455" t="s" s="17">
        <v>1803</v>
      </c>
      <c r="F455" s="18"/>
      <c r="G455" s="19">
        <v>2</v>
      </c>
      <c r="H455" t="s" s="20">
        <v>25</v>
      </c>
      <c r="I455" t="s" s="17">
        <v>26</v>
      </c>
      <c r="J455" t="s" s="17">
        <v>31</v>
      </c>
      <c r="K455" s="18"/>
      <c r="L455" s="18"/>
      <c r="M455" s="18"/>
      <c r="N455" s="18"/>
      <c r="O455" s="21"/>
      <c r="P455" s="21"/>
      <c r="Q455" s="21"/>
      <c r="R455" s="21"/>
      <c r="S455" s="21"/>
      <c r="T455" s="21"/>
    </row>
    <row r="456" ht="45" customHeight="1">
      <c r="A456" t="s" s="15">
        <v>1804</v>
      </c>
      <c r="B456" s="16">
        <v>2018</v>
      </c>
      <c r="C456" t="s" s="15">
        <v>1781</v>
      </c>
      <c r="D456" t="s" s="17">
        <v>1805</v>
      </c>
      <c r="E456" t="s" s="17">
        <v>1806</v>
      </c>
      <c r="F456" s="18"/>
      <c r="G456" s="19">
        <v>3</v>
      </c>
      <c r="H456" t="s" s="20">
        <v>46</v>
      </c>
      <c r="I456" t="s" s="17">
        <v>42</v>
      </c>
      <c r="J456" s="18"/>
      <c r="K456" t="s" s="17">
        <v>43</v>
      </c>
      <c r="L456" t="s" s="17">
        <v>42</v>
      </c>
      <c r="M456" t="s" s="17">
        <v>505</v>
      </c>
      <c r="N456" s="18"/>
      <c r="O456" s="21"/>
      <c r="P456" t="s" s="20">
        <v>25</v>
      </c>
      <c r="Q456" s="21"/>
      <c r="R456" s="21"/>
      <c r="S456" s="21"/>
      <c r="T456" s="21"/>
    </row>
    <row r="457" ht="45" customHeight="1">
      <c r="A457" t="s" s="15">
        <v>1807</v>
      </c>
      <c r="B457" t="s" s="15">
        <v>1808</v>
      </c>
      <c r="C457" t="s" s="15">
        <v>1781</v>
      </c>
      <c r="D457" t="s" s="17">
        <v>1809</v>
      </c>
      <c r="E457" t="s" s="17">
        <v>1810</v>
      </c>
      <c r="F457" s="18"/>
      <c r="G457" s="19">
        <v>2</v>
      </c>
      <c r="H457" t="s" s="20">
        <v>25</v>
      </c>
      <c r="I457" t="s" s="17">
        <v>42</v>
      </c>
      <c r="J457" s="18"/>
      <c r="K457" t="s" s="17">
        <v>43</v>
      </c>
      <c r="L457" t="s" s="17">
        <v>42</v>
      </c>
      <c r="M457" t="s" s="17">
        <v>212</v>
      </c>
      <c r="N457" s="18"/>
      <c r="O457" s="21"/>
      <c r="P457" t="s" s="20">
        <v>25</v>
      </c>
      <c r="Q457" s="21"/>
      <c r="R457" s="21"/>
      <c r="S457" s="21"/>
      <c r="T457" s="21"/>
    </row>
    <row r="458" ht="30" customHeight="1">
      <c r="A458" t="s" s="15">
        <v>1811</v>
      </c>
      <c r="B458" s="16">
        <v>2020</v>
      </c>
      <c r="C458" t="s" s="15">
        <v>1781</v>
      </c>
      <c r="D458" t="s" s="17">
        <v>1812</v>
      </c>
      <c r="E458" t="s" s="17">
        <v>1813</v>
      </c>
      <c r="F458" s="18"/>
      <c r="G458" s="19">
        <v>3</v>
      </c>
      <c r="H458" t="s" s="20">
        <v>46</v>
      </c>
      <c r="I458" t="s" s="17">
        <v>26</v>
      </c>
      <c r="J458" t="s" s="17">
        <v>31</v>
      </c>
      <c r="K458" t="s" s="17">
        <v>80</v>
      </c>
      <c r="L458" s="18"/>
      <c r="M458" s="18"/>
      <c r="N458" s="18"/>
      <c r="O458" s="21"/>
      <c r="P458" s="21"/>
      <c r="Q458" s="21"/>
      <c r="R458" s="21"/>
      <c r="S458" s="21"/>
      <c r="T458" s="21"/>
    </row>
    <row r="459" ht="30" customHeight="1">
      <c r="A459" t="s" s="15">
        <v>1814</v>
      </c>
      <c r="B459" s="16">
        <v>2022</v>
      </c>
      <c r="C459" t="s" s="15">
        <v>1781</v>
      </c>
      <c r="D459" t="s" s="17">
        <v>1815</v>
      </c>
      <c r="E459" t="s" s="17">
        <v>1816</v>
      </c>
      <c r="F459" s="18"/>
      <c r="G459" s="19">
        <v>2</v>
      </c>
      <c r="H459" t="s" s="20">
        <v>25</v>
      </c>
      <c r="I459" t="s" s="17">
        <v>26</v>
      </c>
      <c r="J459" t="s" s="17">
        <v>27</v>
      </c>
      <c r="K459" s="18"/>
      <c r="L459" s="18"/>
      <c r="M459" s="18"/>
      <c r="N459" s="18"/>
      <c r="O459" s="21"/>
      <c r="P459" s="21"/>
      <c r="Q459" s="21"/>
      <c r="R459" s="21"/>
      <c r="S459" s="21"/>
      <c r="T459" s="21"/>
    </row>
    <row r="460" ht="39.55" customHeight="1">
      <c r="A460" t="s" s="15">
        <v>1817</v>
      </c>
      <c r="B460" s="16">
        <v>2022</v>
      </c>
      <c r="C460" t="s" s="15">
        <v>1781</v>
      </c>
      <c r="D460" t="s" s="17">
        <v>1815</v>
      </c>
      <c r="E460" t="s" s="17">
        <v>1818</v>
      </c>
      <c r="F460" s="18"/>
      <c r="G460" s="19">
        <v>2</v>
      </c>
      <c r="H460" t="s" s="20">
        <v>25</v>
      </c>
      <c r="I460" t="s" s="17">
        <v>26</v>
      </c>
      <c r="J460" t="s" s="17">
        <v>27</v>
      </c>
      <c r="K460" s="18"/>
      <c r="L460" s="18"/>
      <c r="M460" s="18"/>
      <c r="N460" s="18"/>
      <c r="O460" s="21"/>
      <c r="P460" s="21"/>
      <c r="Q460" s="21"/>
      <c r="R460" s="21"/>
      <c r="S460" s="21"/>
      <c r="T460" s="21"/>
    </row>
    <row r="461" ht="30" customHeight="1">
      <c r="A461" t="s" s="15">
        <v>1819</v>
      </c>
      <c r="B461" s="16">
        <v>2013</v>
      </c>
      <c r="C461" t="s" s="15">
        <v>1820</v>
      </c>
      <c r="D461" t="s" s="17">
        <v>1821</v>
      </c>
      <c r="E461" t="s" s="17">
        <v>1822</v>
      </c>
      <c r="F461" s="18"/>
      <c r="G461" s="19">
        <v>3</v>
      </c>
      <c r="H461" t="s" s="20">
        <v>46</v>
      </c>
      <c r="I461" t="s" s="17">
        <v>26</v>
      </c>
      <c r="J461" t="s" s="17">
        <v>31</v>
      </c>
      <c r="K461" s="18"/>
      <c r="L461" s="18"/>
      <c r="M461" s="18"/>
      <c r="N461" s="18"/>
      <c r="O461" s="21"/>
      <c r="P461" s="21"/>
      <c r="Q461" s="21"/>
      <c r="R461" s="21"/>
      <c r="S461" s="21"/>
      <c r="T461" s="21"/>
    </row>
    <row r="462" ht="60" customHeight="1">
      <c r="A462" t="s" s="15">
        <v>1823</v>
      </c>
      <c r="B462" s="16">
        <v>2013</v>
      </c>
      <c r="C462" t="s" s="15">
        <v>1824</v>
      </c>
      <c r="D462" t="s" s="17">
        <v>1825</v>
      </c>
      <c r="E462" s="18"/>
      <c r="F462" s="18"/>
      <c r="G462" s="19">
        <v>3</v>
      </c>
      <c r="H462" t="s" s="20">
        <v>46</v>
      </c>
      <c r="I462" t="s" s="17">
        <v>42</v>
      </c>
      <c r="J462" s="18"/>
      <c r="K462" t="s" s="17">
        <v>43</v>
      </c>
      <c r="L462" t="s" s="17">
        <v>26</v>
      </c>
      <c r="M462" s="18"/>
      <c r="N462" t="s" s="17">
        <v>294</v>
      </c>
      <c r="O462" t="s" s="20">
        <v>1826</v>
      </c>
      <c r="P462" s="21"/>
      <c r="Q462" s="21"/>
      <c r="R462" s="21"/>
      <c r="S462" s="21"/>
      <c r="T462" s="21"/>
    </row>
    <row r="463" ht="30" customHeight="1">
      <c r="A463" t="s" s="15">
        <v>1827</v>
      </c>
      <c r="B463" s="16">
        <v>2009</v>
      </c>
      <c r="C463" t="s" s="15">
        <v>1828</v>
      </c>
      <c r="D463" t="s" s="17">
        <v>1829</v>
      </c>
      <c r="E463" s="18"/>
      <c r="F463" s="18"/>
      <c r="G463" s="19">
        <v>2</v>
      </c>
      <c r="H463" t="s" s="20">
        <v>25</v>
      </c>
      <c r="I463" t="s" s="17">
        <v>42</v>
      </c>
      <c r="J463" t="s" s="17">
        <v>93</v>
      </c>
      <c r="K463" t="s" s="17">
        <v>262</v>
      </c>
      <c r="L463" s="18"/>
      <c r="M463" s="18"/>
      <c r="N463" s="18"/>
      <c r="O463" s="21"/>
      <c r="P463" s="21"/>
      <c r="Q463" s="21"/>
      <c r="R463" s="21"/>
      <c r="S463" s="21"/>
      <c r="T463" s="21"/>
    </row>
    <row r="464" ht="45" customHeight="1">
      <c r="A464" t="s" s="15">
        <v>1830</v>
      </c>
      <c r="B464" s="16">
        <v>2022</v>
      </c>
      <c r="C464" t="s" s="15">
        <v>1831</v>
      </c>
      <c r="D464" t="s" s="17">
        <v>1832</v>
      </c>
      <c r="E464" t="s" s="17">
        <v>1833</v>
      </c>
      <c r="F464" s="18"/>
      <c r="G464" s="19">
        <v>3</v>
      </c>
      <c r="H464" t="s" s="20">
        <v>46</v>
      </c>
      <c r="I464" t="s" s="17">
        <v>26</v>
      </c>
      <c r="J464" t="s" s="17">
        <v>405</v>
      </c>
      <c r="K464" s="18"/>
      <c r="L464" s="18"/>
      <c r="M464" s="18"/>
      <c r="N464" s="18"/>
      <c r="O464" s="21"/>
      <c r="P464" s="21"/>
      <c r="Q464" s="21"/>
      <c r="R464" s="21"/>
      <c r="S464" s="21"/>
      <c r="T464" s="21"/>
    </row>
    <row r="465" ht="45" customHeight="1">
      <c r="A465" t="s" s="15">
        <v>1834</v>
      </c>
      <c r="B465" s="16">
        <v>2023</v>
      </c>
      <c r="C465" t="s" s="15">
        <v>1835</v>
      </c>
      <c r="D465" t="s" s="17">
        <v>1836</v>
      </c>
      <c r="E465" t="s" s="17">
        <v>1837</v>
      </c>
      <c r="F465" s="18"/>
      <c r="G465" s="19">
        <v>3</v>
      </c>
      <c r="H465" t="s" s="20">
        <v>46</v>
      </c>
      <c r="I465" t="s" s="17">
        <v>42</v>
      </c>
      <c r="J465" s="18"/>
      <c r="K465" t="s" s="17">
        <v>43</v>
      </c>
      <c r="L465" t="s" s="17">
        <v>42</v>
      </c>
      <c r="M465" t="s" s="17">
        <v>44</v>
      </c>
      <c r="N465" s="18"/>
      <c r="O465" s="21"/>
      <c r="P465" t="s" s="20">
        <v>25</v>
      </c>
      <c r="Q465" s="21"/>
      <c r="R465" s="21"/>
      <c r="S465" s="21"/>
      <c r="T465" s="21"/>
    </row>
    <row r="466" ht="45" customHeight="1">
      <c r="A466" t="s" s="15">
        <v>1838</v>
      </c>
      <c r="B466" s="16">
        <v>2021</v>
      </c>
      <c r="C466" t="s" s="15">
        <v>1839</v>
      </c>
      <c r="D466" t="s" s="17">
        <v>1840</v>
      </c>
      <c r="E466" t="s" s="17">
        <v>1841</v>
      </c>
      <c r="F466" s="18"/>
      <c r="G466" s="19">
        <v>3</v>
      </c>
      <c r="H466" t="s" s="20">
        <v>46</v>
      </c>
      <c r="I466" t="s" s="17">
        <v>26</v>
      </c>
      <c r="J466" t="s" s="17">
        <v>31</v>
      </c>
      <c r="K466" t="s" s="17">
        <v>315</v>
      </c>
      <c r="L466" s="18"/>
      <c r="M466" s="18"/>
      <c r="N466" s="18"/>
      <c r="O466" s="21"/>
      <c r="P466" s="21"/>
      <c r="Q466" s="21"/>
      <c r="R466" s="21"/>
      <c r="S466" s="21"/>
      <c r="T466" s="21"/>
    </row>
    <row r="467" ht="30" customHeight="1">
      <c r="A467" t="s" s="15">
        <v>1842</v>
      </c>
      <c r="B467" s="16">
        <v>2011</v>
      </c>
      <c r="C467" t="s" s="15">
        <v>1843</v>
      </c>
      <c r="D467" t="s" s="17">
        <v>1844</v>
      </c>
      <c r="E467" t="s" s="17">
        <v>1845</v>
      </c>
      <c r="F467" s="18"/>
      <c r="G467" s="19">
        <v>3</v>
      </c>
      <c r="H467" t="s" s="20">
        <v>46</v>
      </c>
      <c r="I467" t="s" s="17">
        <v>26</v>
      </c>
      <c r="J467" t="s" s="17">
        <v>93</v>
      </c>
      <c r="K467" s="18"/>
      <c r="L467" s="18"/>
      <c r="M467" s="18"/>
      <c r="N467" s="18"/>
      <c r="O467" s="21"/>
      <c r="P467" s="21"/>
      <c r="Q467" s="21"/>
      <c r="R467" s="21"/>
      <c r="S467" s="21"/>
      <c r="T467" s="21"/>
    </row>
    <row r="468" ht="30" customHeight="1">
      <c r="A468" t="s" s="15">
        <v>1846</v>
      </c>
      <c r="B468" s="16">
        <v>2015</v>
      </c>
      <c r="C468" t="s" s="15">
        <v>1843</v>
      </c>
      <c r="D468" t="s" s="17">
        <v>1847</v>
      </c>
      <c r="E468" t="s" s="17">
        <v>1848</v>
      </c>
      <c r="F468" s="18"/>
      <c r="G468" s="19">
        <v>3</v>
      </c>
      <c r="H468" t="s" s="20">
        <v>46</v>
      </c>
      <c r="I468" t="s" s="17">
        <v>26</v>
      </c>
      <c r="J468" t="s" s="17">
        <v>187</v>
      </c>
      <c r="K468" t="s" s="17">
        <v>1472</v>
      </c>
      <c r="L468" s="18"/>
      <c r="M468" s="18"/>
      <c r="N468" s="18"/>
      <c r="O468" s="21"/>
      <c r="P468" s="21"/>
      <c r="Q468" s="21"/>
      <c r="R468" s="21"/>
      <c r="S468" s="21"/>
      <c r="T468" s="21"/>
    </row>
    <row r="469" ht="30" customHeight="1">
      <c r="A469" t="s" s="15">
        <v>1849</v>
      </c>
      <c r="B469" s="16">
        <v>2021</v>
      </c>
      <c r="C469" t="s" s="15">
        <v>1850</v>
      </c>
      <c r="D469" t="s" s="17">
        <v>1851</v>
      </c>
      <c r="E469" t="s" s="17">
        <v>1852</v>
      </c>
      <c r="F469" s="18"/>
      <c r="G469" s="19">
        <v>2</v>
      </c>
      <c r="H469" t="s" s="20">
        <v>25</v>
      </c>
      <c r="I469" t="s" s="17">
        <v>26</v>
      </c>
      <c r="J469" t="s" s="17">
        <v>102</v>
      </c>
      <c r="K469" s="18"/>
      <c r="L469" s="18"/>
      <c r="M469" s="18"/>
      <c r="N469" s="18"/>
      <c r="O469" s="21"/>
      <c r="P469" s="21"/>
      <c r="Q469" s="21"/>
      <c r="R469" s="21"/>
      <c r="S469" s="21"/>
      <c r="T469" s="21"/>
    </row>
    <row r="470" ht="39.55" customHeight="1">
      <c r="A470" t="s" s="15">
        <v>1853</v>
      </c>
      <c r="B470" s="16">
        <v>2010</v>
      </c>
      <c r="C470" t="s" s="15">
        <v>1854</v>
      </c>
      <c r="D470" t="s" s="17">
        <v>1855</v>
      </c>
      <c r="E470" t="s" s="17">
        <v>1856</v>
      </c>
      <c r="F470" s="18"/>
      <c r="G470" s="19">
        <v>3</v>
      </c>
      <c r="H470" t="s" s="20">
        <v>46</v>
      </c>
      <c r="I470" t="s" s="17">
        <v>26</v>
      </c>
      <c r="J470" t="s" s="17">
        <v>85</v>
      </c>
      <c r="K470" t="s" s="17">
        <v>80</v>
      </c>
      <c r="L470" s="18"/>
      <c r="M470" s="18"/>
      <c r="N470" s="18"/>
      <c r="O470" s="21"/>
      <c r="P470" s="21"/>
      <c r="Q470" s="21"/>
      <c r="R470" s="21"/>
      <c r="S470" s="21"/>
      <c r="T470" s="21"/>
    </row>
    <row r="471" ht="30" customHeight="1">
      <c r="A471" t="s" s="15">
        <v>1857</v>
      </c>
      <c r="B471" s="16">
        <v>2020</v>
      </c>
      <c r="C471" t="s" s="15">
        <v>1858</v>
      </c>
      <c r="D471" t="s" s="17">
        <v>1859</v>
      </c>
      <c r="E471" t="s" s="17">
        <v>1860</v>
      </c>
      <c r="F471" s="18"/>
      <c r="G471" s="19">
        <v>3</v>
      </c>
      <c r="H471" t="s" s="20">
        <v>46</v>
      </c>
      <c r="I471" t="s" s="17">
        <v>26</v>
      </c>
      <c r="J471" t="s" s="17">
        <v>93</v>
      </c>
      <c r="K471" s="18"/>
      <c r="L471" s="18"/>
      <c r="M471" s="18"/>
      <c r="N471" s="18"/>
      <c r="O471" s="21"/>
      <c r="P471" s="21"/>
      <c r="Q471" s="21"/>
      <c r="R471" s="21"/>
      <c r="S471" s="21"/>
      <c r="T471" s="21"/>
    </row>
    <row r="472" ht="26.55" customHeight="1">
      <c r="A472" t="s" s="15">
        <v>1861</v>
      </c>
      <c r="B472" s="16">
        <v>2007</v>
      </c>
      <c r="C472" t="s" s="15">
        <v>1862</v>
      </c>
      <c r="D472" t="s" s="17">
        <v>1863</v>
      </c>
      <c r="E472" t="s" s="17">
        <v>1864</v>
      </c>
      <c r="F472" s="18"/>
      <c r="G472" s="19">
        <v>3</v>
      </c>
      <c r="H472" t="s" s="20">
        <v>46</v>
      </c>
      <c r="I472" t="s" s="17">
        <v>26</v>
      </c>
      <c r="J472" t="s" s="17">
        <v>31</v>
      </c>
      <c r="K472" s="18"/>
      <c r="L472" s="18"/>
      <c r="M472" s="18"/>
      <c r="N472" s="18"/>
      <c r="O472" s="21"/>
      <c r="P472" s="21"/>
      <c r="Q472" s="21"/>
      <c r="R472" s="21"/>
      <c r="S472" s="21"/>
      <c r="T472" s="21"/>
    </row>
    <row r="473" ht="26.55" customHeight="1">
      <c r="A473" t="s" s="15">
        <v>1865</v>
      </c>
      <c r="B473" s="16">
        <v>2018</v>
      </c>
      <c r="C473" t="s" s="15">
        <v>1866</v>
      </c>
      <c r="D473" t="s" s="17">
        <v>1867</v>
      </c>
      <c r="E473" t="s" s="17">
        <v>1868</v>
      </c>
      <c r="F473" s="18"/>
      <c r="G473" s="19">
        <v>2</v>
      </c>
      <c r="H473" t="s" s="20">
        <v>25</v>
      </c>
      <c r="I473" t="s" s="17">
        <v>26</v>
      </c>
      <c r="J473" t="s" s="17">
        <v>85</v>
      </c>
      <c r="K473" t="s" s="17">
        <v>586</v>
      </c>
      <c r="L473" s="18"/>
      <c r="M473" s="18"/>
      <c r="N473" s="18"/>
      <c r="O473" s="21"/>
      <c r="P473" s="21"/>
      <c r="Q473" s="21"/>
      <c r="R473" s="21"/>
      <c r="S473" s="21"/>
      <c r="T473" s="21"/>
    </row>
    <row r="474" ht="30" customHeight="1">
      <c r="A474" t="s" s="15">
        <v>1869</v>
      </c>
      <c r="B474" s="16">
        <v>2019</v>
      </c>
      <c r="C474" t="s" s="15">
        <v>1870</v>
      </c>
      <c r="D474" t="s" s="17">
        <v>1871</v>
      </c>
      <c r="E474" t="s" s="17">
        <v>1872</v>
      </c>
      <c r="F474" s="18"/>
      <c r="G474" s="19">
        <v>3</v>
      </c>
      <c r="H474" t="s" s="20">
        <v>46</v>
      </c>
      <c r="I474" t="s" s="17">
        <v>26</v>
      </c>
      <c r="J474" t="s" s="17">
        <v>93</v>
      </c>
      <c r="K474" s="18"/>
      <c r="L474" s="18"/>
      <c r="M474" s="18"/>
      <c r="N474" s="18"/>
      <c r="O474" s="21"/>
      <c r="P474" s="21"/>
      <c r="Q474" s="21"/>
      <c r="R474" s="21"/>
      <c r="S474" s="21"/>
      <c r="T474" s="21"/>
    </row>
    <row r="475" ht="39.55" customHeight="1">
      <c r="A475" t="s" s="15">
        <v>1873</v>
      </c>
      <c r="B475" s="16">
        <v>2022</v>
      </c>
      <c r="C475" t="s" s="15">
        <v>1874</v>
      </c>
      <c r="D475" t="s" s="17">
        <v>1875</v>
      </c>
      <c r="E475" t="s" s="17">
        <v>1876</v>
      </c>
      <c r="F475" s="18"/>
      <c r="G475" s="19">
        <v>2</v>
      </c>
      <c r="H475" t="s" s="20">
        <v>25</v>
      </c>
      <c r="I475" t="s" s="17">
        <v>26</v>
      </c>
      <c r="J475" t="s" s="17">
        <v>187</v>
      </c>
      <c r="K475" s="18"/>
      <c r="L475" s="18"/>
      <c r="M475" s="18"/>
      <c r="N475" s="18"/>
      <c r="O475" s="21"/>
      <c r="P475" s="21"/>
      <c r="Q475" s="21"/>
      <c r="R475" s="21"/>
      <c r="S475" s="21"/>
      <c r="T475" s="21"/>
    </row>
    <row r="476" ht="39.55" customHeight="1">
      <c r="A476" t="s" s="15">
        <v>1877</v>
      </c>
      <c r="B476" s="16">
        <v>2005</v>
      </c>
      <c r="C476" t="s" s="15">
        <v>1878</v>
      </c>
      <c r="D476" t="s" s="17">
        <v>1879</v>
      </c>
      <c r="E476" t="s" s="17">
        <v>1880</v>
      </c>
      <c r="F476" s="18"/>
      <c r="G476" s="19">
        <v>2</v>
      </c>
      <c r="H476" t="s" s="20">
        <v>25</v>
      </c>
      <c r="I476" t="s" s="17">
        <v>26</v>
      </c>
      <c r="J476" t="s" s="17">
        <v>85</v>
      </c>
      <c r="K476" s="18"/>
      <c r="L476" s="18"/>
      <c r="M476" s="18"/>
      <c r="N476" s="18"/>
      <c r="O476" s="21"/>
      <c r="P476" s="21"/>
      <c r="Q476" s="21"/>
      <c r="R476" s="21"/>
      <c r="S476" s="21"/>
      <c r="T476" s="21"/>
    </row>
    <row r="477" ht="45" customHeight="1">
      <c r="A477" t="s" s="15">
        <v>1881</v>
      </c>
      <c r="B477" s="16">
        <v>2018</v>
      </c>
      <c r="C477" t="s" s="15">
        <v>1882</v>
      </c>
      <c r="D477" t="s" s="17">
        <v>1883</v>
      </c>
      <c r="E477" t="s" s="17">
        <v>1884</v>
      </c>
      <c r="F477" s="18"/>
      <c r="G477" s="19">
        <v>3</v>
      </c>
      <c r="H477" t="s" s="20">
        <v>46</v>
      </c>
      <c r="I477" t="s" s="17">
        <v>26</v>
      </c>
      <c r="J477" t="s" s="17">
        <v>85</v>
      </c>
      <c r="K477" s="18"/>
      <c r="L477" s="18"/>
      <c r="M477" s="18"/>
      <c r="N477" s="18"/>
      <c r="O477" s="21"/>
      <c r="P477" s="21"/>
      <c r="Q477" s="21"/>
      <c r="R477" s="21"/>
      <c r="S477" s="21"/>
      <c r="T477" s="21"/>
    </row>
    <row r="478" ht="30" customHeight="1">
      <c r="A478" t="s" s="15">
        <v>1885</v>
      </c>
      <c r="B478" s="16">
        <v>2020</v>
      </c>
      <c r="C478" t="s" s="15">
        <v>1886</v>
      </c>
      <c r="D478" t="s" s="17">
        <v>1887</v>
      </c>
      <c r="E478" t="s" s="17">
        <v>1888</v>
      </c>
      <c r="F478" s="18"/>
      <c r="G478" s="19">
        <v>3</v>
      </c>
      <c r="H478" t="s" s="20">
        <v>46</v>
      </c>
      <c r="I478" t="s" s="17">
        <v>26</v>
      </c>
      <c r="J478" t="s" s="17">
        <v>31</v>
      </c>
      <c r="K478" s="18"/>
      <c r="L478" s="18"/>
      <c r="M478" s="18"/>
      <c r="N478" s="18"/>
      <c r="O478" s="21"/>
      <c r="P478" s="21"/>
      <c r="Q478" s="21"/>
      <c r="R478" s="21"/>
      <c r="S478" s="21"/>
      <c r="T478" s="21"/>
    </row>
    <row r="479" ht="39.55" customHeight="1">
      <c r="A479" t="s" s="15">
        <v>1889</v>
      </c>
      <c r="B479" s="16">
        <v>2020</v>
      </c>
      <c r="C479" t="s" s="15">
        <v>1890</v>
      </c>
      <c r="D479" t="s" s="17">
        <v>1891</v>
      </c>
      <c r="E479" t="s" s="17">
        <v>1892</v>
      </c>
      <c r="F479" s="18"/>
      <c r="G479" s="19">
        <v>3</v>
      </c>
      <c r="H479" t="s" s="20">
        <v>46</v>
      </c>
      <c r="I479" t="s" s="17">
        <v>26</v>
      </c>
      <c r="J479" t="s" s="17">
        <v>131</v>
      </c>
      <c r="K479" s="18"/>
      <c r="L479" s="18"/>
      <c r="M479" s="18"/>
      <c r="N479" s="18"/>
      <c r="O479" s="21"/>
      <c r="P479" s="21"/>
      <c r="Q479" s="21"/>
      <c r="R479" s="21"/>
      <c r="S479" s="21"/>
      <c r="T479" s="21"/>
    </row>
    <row r="480" ht="26.55" customHeight="1">
      <c r="A480" t="s" s="15">
        <v>1893</v>
      </c>
      <c r="B480" s="16">
        <v>2017</v>
      </c>
      <c r="C480" t="s" s="15">
        <v>1894</v>
      </c>
      <c r="D480" t="s" s="17">
        <v>1895</v>
      </c>
      <c r="E480" t="s" s="17">
        <v>1896</v>
      </c>
      <c r="F480" s="18"/>
      <c r="G480" s="19">
        <v>2</v>
      </c>
      <c r="H480" t="s" s="20">
        <v>25</v>
      </c>
      <c r="I480" t="s" s="17">
        <v>26</v>
      </c>
      <c r="J480" t="s" s="17">
        <v>811</v>
      </c>
      <c r="K480" s="18"/>
      <c r="L480" s="18"/>
      <c r="M480" s="18"/>
      <c r="N480" s="18"/>
      <c r="O480" s="21"/>
      <c r="P480" s="21"/>
      <c r="Q480" s="21"/>
      <c r="R480" s="21"/>
      <c r="S480" s="21"/>
      <c r="T480" s="21"/>
    </row>
    <row r="481" ht="26.55" customHeight="1">
      <c r="A481" t="s" s="15">
        <v>1897</v>
      </c>
      <c r="B481" s="16">
        <v>2010</v>
      </c>
      <c r="C481" t="s" s="15">
        <v>1898</v>
      </c>
      <c r="D481" t="s" s="17">
        <v>1899</v>
      </c>
      <c r="E481" t="s" s="17">
        <v>1900</v>
      </c>
      <c r="F481" s="18"/>
      <c r="G481" s="19">
        <v>2</v>
      </c>
      <c r="H481" t="s" s="20">
        <v>25</v>
      </c>
      <c r="I481" t="s" s="17">
        <v>26</v>
      </c>
      <c r="J481" t="s" s="17">
        <v>1901</v>
      </c>
      <c r="K481" t="s" s="17">
        <v>86</v>
      </c>
      <c r="L481" s="18"/>
      <c r="M481" s="18"/>
      <c r="N481" s="18"/>
      <c r="O481" s="21"/>
      <c r="P481" s="21"/>
      <c r="Q481" s="21"/>
      <c r="R481" s="21"/>
      <c r="S481" s="21"/>
      <c r="T481" s="21"/>
    </row>
    <row r="482" ht="13.55" customHeight="1">
      <c r="A482" t="s" s="15">
        <v>1902</v>
      </c>
      <c r="B482" s="16">
        <v>2020</v>
      </c>
      <c r="C482" t="s" s="15">
        <v>1898</v>
      </c>
      <c r="D482" t="s" s="17">
        <v>1903</v>
      </c>
      <c r="E482" t="s" s="17">
        <v>1904</v>
      </c>
      <c r="F482" s="18"/>
      <c r="G482" s="19">
        <v>2</v>
      </c>
      <c r="H482" t="s" s="20">
        <v>25</v>
      </c>
      <c r="I482" t="s" s="17">
        <v>26</v>
      </c>
      <c r="J482" t="s" s="17">
        <v>85</v>
      </c>
      <c r="K482" t="s" s="17">
        <v>32</v>
      </c>
      <c r="L482" s="18"/>
      <c r="M482" s="18"/>
      <c r="N482" s="18"/>
      <c r="O482" s="21"/>
      <c r="P482" s="21"/>
      <c r="Q482" s="21"/>
      <c r="R482" s="21"/>
      <c r="S482" s="21"/>
      <c r="T482" s="21"/>
    </row>
    <row r="483" ht="30" customHeight="1">
      <c r="A483" t="s" s="15">
        <v>1905</v>
      </c>
      <c r="B483" s="16">
        <v>2005</v>
      </c>
      <c r="C483" t="s" s="15">
        <v>1906</v>
      </c>
      <c r="D483" t="s" s="17">
        <v>782</v>
      </c>
      <c r="E483" t="s" s="17">
        <v>1907</v>
      </c>
      <c r="F483" t="s" s="17">
        <v>1908</v>
      </c>
      <c r="G483" s="19">
        <v>2</v>
      </c>
      <c r="H483" t="s" s="20">
        <v>25</v>
      </c>
      <c r="I483" t="s" s="17">
        <v>42</v>
      </c>
      <c r="J483" s="18"/>
      <c r="K483" t="s" s="17">
        <v>43</v>
      </c>
      <c r="L483" t="s" s="17">
        <v>26</v>
      </c>
      <c r="M483" s="18"/>
      <c r="N483" t="s" s="17">
        <v>1518</v>
      </c>
      <c r="O483" s="21"/>
      <c r="P483" s="21"/>
      <c r="Q483" s="21"/>
      <c r="R483" s="21"/>
      <c r="S483" s="21"/>
      <c r="T483" s="21"/>
    </row>
    <row r="484" ht="45" customHeight="1">
      <c r="A484" t="s" s="15">
        <v>1909</v>
      </c>
      <c r="B484" s="16">
        <v>2008</v>
      </c>
      <c r="C484" t="s" s="15">
        <v>1906</v>
      </c>
      <c r="D484" t="s" s="17">
        <v>1910</v>
      </c>
      <c r="E484" t="s" s="17">
        <v>1911</v>
      </c>
      <c r="F484" s="18"/>
      <c r="G484" s="19">
        <v>3</v>
      </c>
      <c r="H484" t="s" s="20">
        <v>46</v>
      </c>
      <c r="I484" t="s" s="17">
        <v>26</v>
      </c>
      <c r="J484" t="s" s="17">
        <v>85</v>
      </c>
      <c r="K484" s="18"/>
      <c r="L484" s="18"/>
      <c r="M484" s="18"/>
      <c r="N484" s="18"/>
      <c r="O484" s="21"/>
      <c r="P484" s="21"/>
      <c r="Q484" s="21"/>
      <c r="R484" s="21"/>
      <c r="S484" s="21"/>
      <c r="T484" s="21"/>
    </row>
    <row r="485" ht="45" customHeight="1">
      <c r="A485" t="s" s="15">
        <v>1912</v>
      </c>
      <c r="B485" s="16">
        <v>2019</v>
      </c>
      <c r="C485" t="s" s="15">
        <v>1906</v>
      </c>
      <c r="D485" t="s" s="17">
        <v>1908</v>
      </c>
      <c r="E485" t="s" s="17">
        <v>1913</v>
      </c>
      <c r="F485" t="s" s="17">
        <v>782</v>
      </c>
      <c r="G485" s="19">
        <v>2</v>
      </c>
      <c r="H485" t="s" s="20">
        <v>25</v>
      </c>
      <c r="I485" t="s" s="17">
        <v>42</v>
      </c>
      <c r="J485" s="18"/>
      <c r="K485" t="s" s="17">
        <v>43</v>
      </c>
      <c r="L485" t="s" s="17">
        <v>26</v>
      </c>
      <c r="M485" t="s" s="17">
        <v>44</v>
      </c>
      <c r="N485" t="s" s="17">
        <v>1518</v>
      </c>
      <c r="O485" s="21"/>
      <c r="P485" t="s" s="20">
        <v>46</v>
      </c>
      <c r="Q485" s="21"/>
      <c r="R485" s="21"/>
      <c r="S485" s="21"/>
      <c r="T485" s="21"/>
    </row>
    <row r="486" ht="39.55" customHeight="1">
      <c r="A486" t="s" s="15">
        <v>1914</v>
      </c>
      <c r="B486" s="16">
        <v>2018</v>
      </c>
      <c r="C486" t="s" s="15">
        <v>1915</v>
      </c>
      <c r="D486" t="s" s="17">
        <v>1916</v>
      </c>
      <c r="E486" t="s" s="17">
        <v>1917</v>
      </c>
      <c r="F486" s="18"/>
      <c r="G486" s="19">
        <v>3</v>
      </c>
      <c r="H486" t="s" s="20">
        <v>46</v>
      </c>
      <c r="I486" t="s" s="17">
        <v>26</v>
      </c>
      <c r="J486" t="s" s="17">
        <v>1303</v>
      </c>
      <c r="K486" t="s" s="17">
        <v>467</v>
      </c>
      <c r="L486" s="18"/>
      <c r="M486" s="18"/>
      <c r="N486" s="18"/>
      <c r="O486" s="21"/>
      <c r="P486" s="21"/>
      <c r="Q486" s="21"/>
      <c r="R486" s="21"/>
      <c r="S486" s="21"/>
      <c r="T486" s="21"/>
    </row>
    <row r="487" ht="30" customHeight="1">
      <c r="A487" t="s" s="15">
        <v>1918</v>
      </c>
      <c r="B487" s="16">
        <v>2008</v>
      </c>
      <c r="C487" t="s" s="15">
        <v>1919</v>
      </c>
      <c r="D487" t="s" s="17">
        <v>1920</v>
      </c>
      <c r="E487" t="s" s="17">
        <v>1921</v>
      </c>
      <c r="F487" s="18"/>
      <c r="G487" s="19">
        <v>2</v>
      </c>
      <c r="H487" t="s" s="20">
        <v>25</v>
      </c>
      <c r="I487" t="s" s="17">
        <v>42</v>
      </c>
      <c r="J487" s="18"/>
      <c r="K487" t="s" s="17">
        <v>43</v>
      </c>
      <c r="L487" t="s" s="17">
        <v>42</v>
      </c>
      <c r="M487" t="s" s="17">
        <v>212</v>
      </c>
      <c r="N487" s="18"/>
      <c r="O487" s="21"/>
      <c r="P487" t="s" s="20">
        <v>25</v>
      </c>
      <c r="Q487" s="21"/>
      <c r="R487" s="21"/>
      <c r="S487" s="21"/>
      <c r="T487" s="21"/>
    </row>
    <row r="488" ht="45" customHeight="1">
      <c r="A488" t="s" s="15">
        <v>1922</v>
      </c>
      <c r="B488" s="16">
        <v>2017</v>
      </c>
      <c r="C488" t="s" s="15">
        <v>1923</v>
      </c>
      <c r="D488" t="s" s="17">
        <v>1924</v>
      </c>
      <c r="E488" t="s" s="17">
        <v>1925</v>
      </c>
      <c r="F488" s="18"/>
      <c r="G488" s="19">
        <v>2</v>
      </c>
      <c r="H488" t="s" s="20">
        <v>25</v>
      </c>
      <c r="I488" t="s" s="17">
        <v>42</v>
      </c>
      <c r="J488" s="18"/>
      <c r="K488" t="s" s="17">
        <v>43</v>
      </c>
      <c r="L488" t="s" s="17">
        <v>42</v>
      </c>
      <c r="M488" t="s" s="17">
        <v>44</v>
      </c>
      <c r="N488" s="18"/>
      <c r="O488" t="s" s="20">
        <v>1926</v>
      </c>
      <c r="P488" t="s" s="20">
        <v>25</v>
      </c>
      <c r="Q488" s="21"/>
      <c r="R488" s="21"/>
      <c r="S488" s="21"/>
      <c r="T488" s="21"/>
    </row>
    <row r="489" ht="30" customHeight="1">
      <c r="A489" t="s" s="15">
        <v>1927</v>
      </c>
      <c r="B489" s="16">
        <v>2017</v>
      </c>
      <c r="C489" t="s" s="15">
        <v>1923</v>
      </c>
      <c r="D489" t="s" s="17">
        <v>1924</v>
      </c>
      <c r="E489" t="s" s="17">
        <v>1928</v>
      </c>
      <c r="F489" s="18"/>
      <c r="G489" s="19">
        <v>2</v>
      </c>
      <c r="H489" t="s" s="20">
        <v>25</v>
      </c>
      <c r="I489" t="s" s="17">
        <v>26</v>
      </c>
      <c r="J489" t="s" s="17">
        <v>1929</v>
      </c>
      <c r="K489" s="18"/>
      <c r="L489" s="18"/>
      <c r="M489" s="18"/>
      <c r="N489" s="18"/>
      <c r="O489" s="21"/>
      <c r="P489" s="21"/>
      <c r="Q489" s="21"/>
      <c r="R489" s="21"/>
      <c r="S489" s="21"/>
      <c r="T489" s="21"/>
    </row>
    <row r="490" ht="30" customHeight="1">
      <c r="A490" t="s" s="15">
        <v>1930</v>
      </c>
      <c r="B490" s="16">
        <v>2017</v>
      </c>
      <c r="C490" t="s" s="15">
        <v>1923</v>
      </c>
      <c r="D490" t="s" s="17">
        <v>1924</v>
      </c>
      <c r="E490" t="s" s="17">
        <v>1931</v>
      </c>
      <c r="F490" s="18"/>
      <c r="G490" s="19">
        <v>2</v>
      </c>
      <c r="H490" t="s" s="20">
        <v>25</v>
      </c>
      <c r="I490" t="s" s="17">
        <v>26</v>
      </c>
      <c r="J490" t="s" s="17">
        <v>27</v>
      </c>
      <c r="K490" t="s" s="17">
        <v>86</v>
      </c>
      <c r="L490" s="18"/>
      <c r="M490" s="18"/>
      <c r="N490" s="18"/>
      <c r="O490" s="21"/>
      <c r="P490" s="21"/>
      <c r="Q490" s="21"/>
      <c r="R490" s="21"/>
      <c r="S490" s="21"/>
      <c r="T490" s="21"/>
    </row>
    <row r="491" ht="30" customHeight="1">
      <c r="A491" t="s" s="15">
        <v>1932</v>
      </c>
      <c r="B491" s="16">
        <v>2018</v>
      </c>
      <c r="C491" t="s" s="15">
        <v>1923</v>
      </c>
      <c r="D491" t="s" s="17">
        <v>1933</v>
      </c>
      <c r="E491" t="s" s="17">
        <v>1934</v>
      </c>
      <c r="F491" s="18"/>
      <c r="G491" s="19">
        <v>2</v>
      </c>
      <c r="H491" t="s" s="20">
        <v>25</v>
      </c>
      <c r="I491" t="s" s="17">
        <v>26</v>
      </c>
      <c r="J491" t="s" s="17">
        <v>660</v>
      </c>
      <c r="K491" t="s" s="17">
        <v>661</v>
      </c>
      <c r="L491" t="s" s="17">
        <v>26</v>
      </c>
      <c r="M491" s="18"/>
      <c r="N491" t="s" s="17">
        <v>662</v>
      </c>
      <c r="O491" t="s" s="20">
        <v>661</v>
      </c>
      <c r="P491" s="21"/>
      <c r="Q491" s="21"/>
      <c r="R491" s="21"/>
      <c r="S491" s="21"/>
      <c r="T491" s="21"/>
    </row>
    <row r="492" ht="30" customHeight="1">
      <c r="A492" t="s" s="15">
        <v>1935</v>
      </c>
      <c r="B492" s="16">
        <v>2021</v>
      </c>
      <c r="C492" t="s" s="15">
        <v>1923</v>
      </c>
      <c r="D492" t="s" s="17">
        <v>1936</v>
      </c>
      <c r="E492" t="s" s="17">
        <v>1937</v>
      </c>
      <c r="F492" s="18"/>
      <c r="G492" s="19">
        <v>2</v>
      </c>
      <c r="H492" t="s" s="20">
        <v>25</v>
      </c>
      <c r="I492" t="s" s="17">
        <v>42</v>
      </c>
      <c r="J492" s="18"/>
      <c r="K492" t="s" s="17">
        <v>276</v>
      </c>
      <c r="L492" t="s" s="17">
        <v>42</v>
      </c>
      <c r="M492" t="s" s="17">
        <v>505</v>
      </c>
      <c r="N492" s="18"/>
      <c r="O492" s="21"/>
      <c r="P492" t="s" s="20">
        <v>46</v>
      </c>
      <c r="Q492" t="s" s="20">
        <v>277</v>
      </c>
      <c r="R492" s="21"/>
      <c r="S492" t="s" s="20">
        <v>277</v>
      </c>
      <c r="T492" s="21"/>
    </row>
    <row r="493" ht="26.55" customHeight="1">
      <c r="A493" t="s" s="15">
        <v>1938</v>
      </c>
      <c r="B493" s="16">
        <v>2022</v>
      </c>
      <c r="C493" t="s" s="15">
        <v>1923</v>
      </c>
      <c r="D493" t="s" s="17">
        <v>1939</v>
      </c>
      <c r="E493" t="s" s="17">
        <v>1940</v>
      </c>
      <c r="F493" s="18"/>
      <c r="G493" s="19">
        <v>2</v>
      </c>
      <c r="H493" t="s" s="20">
        <v>25</v>
      </c>
      <c r="I493" t="s" s="17">
        <v>26</v>
      </c>
      <c r="J493" t="s" s="17">
        <v>66</v>
      </c>
      <c r="K493" s="18"/>
      <c r="L493" s="18"/>
      <c r="M493" s="18"/>
      <c r="N493" s="18"/>
      <c r="O493" s="21"/>
      <c r="P493" s="21"/>
      <c r="Q493" s="21"/>
      <c r="R493" s="21"/>
      <c r="S493" s="21"/>
      <c r="T493" s="21"/>
    </row>
    <row r="494" ht="30" customHeight="1">
      <c r="A494" t="s" s="15">
        <v>1941</v>
      </c>
      <c r="B494" s="16">
        <v>2022</v>
      </c>
      <c r="C494" t="s" s="15">
        <v>1942</v>
      </c>
      <c r="D494" t="s" s="17">
        <v>1943</v>
      </c>
      <c r="E494" t="s" s="17">
        <v>1944</v>
      </c>
      <c r="F494" s="18"/>
      <c r="G494" s="19">
        <v>2</v>
      </c>
      <c r="H494" t="s" s="20">
        <v>25</v>
      </c>
      <c r="I494" t="s" s="17">
        <v>26</v>
      </c>
      <c r="J494" t="s" s="17">
        <v>1901</v>
      </c>
      <c r="K494" t="s" s="17">
        <v>86</v>
      </c>
      <c r="L494" s="18"/>
      <c r="M494" s="18"/>
      <c r="N494" s="18"/>
      <c r="O494" s="21"/>
      <c r="P494" s="21"/>
      <c r="Q494" s="21"/>
      <c r="R494" s="21"/>
      <c r="S494" s="21"/>
      <c r="T494" s="21"/>
    </row>
    <row r="495" ht="39.55" customHeight="1">
      <c r="A495" t="s" s="15">
        <v>1945</v>
      </c>
      <c r="B495" s="16">
        <v>2019</v>
      </c>
      <c r="C495" t="s" s="15">
        <v>1946</v>
      </c>
      <c r="D495" t="s" s="17">
        <v>1947</v>
      </c>
      <c r="E495" t="s" s="17">
        <v>1948</v>
      </c>
      <c r="F495" s="18"/>
      <c r="G495" s="19">
        <v>3</v>
      </c>
      <c r="H495" t="s" s="20">
        <v>46</v>
      </c>
      <c r="I495" t="s" s="17">
        <v>42</v>
      </c>
      <c r="J495" t="s" s="17">
        <v>85</v>
      </c>
      <c r="K495" t="s" s="17">
        <v>80</v>
      </c>
      <c r="L495" s="18"/>
      <c r="M495" s="18"/>
      <c r="N495" s="18"/>
      <c r="O495" s="21"/>
      <c r="P495" s="21"/>
      <c r="Q495" s="21"/>
      <c r="R495" s="21"/>
      <c r="S495" s="21"/>
      <c r="T495" s="21"/>
    </row>
    <row r="496" ht="30" customHeight="1">
      <c r="A496" t="s" s="15">
        <v>1949</v>
      </c>
      <c r="B496" s="16">
        <v>2015</v>
      </c>
      <c r="C496" t="s" s="15">
        <v>1950</v>
      </c>
      <c r="D496" t="s" s="17">
        <v>1951</v>
      </c>
      <c r="E496" t="s" s="17">
        <v>1952</v>
      </c>
      <c r="F496" s="18"/>
      <c r="G496" s="19">
        <v>2</v>
      </c>
      <c r="H496" t="s" s="20">
        <v>25</v>
      </c>
      <c r="I496" t="s" s="17">
        <v>26</v>
      </c>
      <c r="J496" t="s" s="17">
        <v>27</v>
      </c>
      <c r="K496" s="18"/>
      <c r="L496" s="18"/>
      <c r="M496" s="18"/>
      <c r="N496" s="18"/>
      <c r="O496" s="21"/>
      <c r="P496" s="21"/>
      <c r="Q496" s="21"/>
      <c r="R496" s="21"/>
      <c r="S496" s="21"/>
      <c r="T496" s="21"/>
    </row>
    <row r="497" ht="30" customHeight="1">
      <c r="A497" t="s" s="15">
        <v>1953</v>
      </c>
      <c r="B497" s="16">
        <v>2011</v>
      </c>
      <c r="C497" t="s" s="15">
        <v>1954</v>
      </c>
      <c r="D497" t="s" s="17">
        <v>1955</v>
      </c>
      <c r="E497" t="s" s="17">
        <v>1956</v>
      </c>
      <c r="F497" s="18"/>
      <c r="G497" s="19">
        <v>3</v>
      </c>
      <c r="H497" t="s" s="20">
        <v>46</v>
      </c>
      <c r="I497" t="s" s="17">
        <v>26</v>
      </c>
      <c r="J497" t="s" s="17">
        <v>85</v>
      </c>
      <c r="K497" t="s" s="17">
        <v>1957</v>
      </c>
      <c r="L497" s="18"/>
      <c r="M497" s="18"/>
      <c r="N497" s="18"/>
      <c r="O497" s="21"/>
      <c r="P497" s="21"/>
      <c r="Q497" s="21"/>
      <c r="R497" s="21"/>
      <c r="S497" s="21"/>
      <c r="T497" s="21"/>
    </row>
    <row r="498" ht="30" customHeight="1">
      <c r="A498" t="s" s="15">
        <v>1958</v>
      </c>
      <c r="B498" s="16">
        <v>2023</v>
      </c>
      <c r="C498" t="s" s="15">
        <v>1959</v>
      </c>
      <c r="D498" t="s" s="17">
        <v>1960</v>
      </c>
      <c r="E498" t="s" s="17">
        <v>1961</v>
      </c>
      <c r="F498" s="18"/>
      <c r="G498" s="19">
        <v>2</v>
      </c>
      <c r="H498" t="s" s="20">
        <v>25</v>
      </c>
      <c r="I498" t="s" s="17">
        <v>26</v>
      </c>
      <c r="J498" t="s" s="17">
        <v>66</v>
      </c>
      <c r="K498" s="18"/>
      <c r="L498" s="18"/>
      <c r="M498" s="18"/>
      <c r="N498" s="18"/>
      <c r="O498" s="21"/>
      <c r="P498" s="21"/>
      <c r="Q498" s="21"/>
      <c r="R498" s="21"/>
      <c r="S498" s="21"/>
      <c r="T498" s="21"/>
    </row>
    <row r="499" ht="26.55" customHeight="1">
      <c r="A499" t="s" s="15">
        <v>1962</v>
      </c>
      <c r="B499" s="16">
        <v>2018</v>
      </c>
      <c r="C499" t="s" s="15">
        <v>1963</v>
      </c>
      <c r="D499" t="s" s="17">
        <v>1964</v>
      </c>
      <c r="E499" t="s" s="17">
        <v>1965</v>
      </c>
      <c r="F499" s="18"/>
      <c r="G499" s="19">
        <v>3</v>
      </c>
      <c r="H499" t="s" s="20">
        <v>46</v>
      </c>
      <c r="I499" t="s" s="17">
        <v>26</v>
      </c>
      <c r="J499" t="s" s="17">
        <v>85</v>
      </c>
      <c r="K499" t="s" s="17">
        <v>86</v>
      </c>
      <c r="L499" s="18"/>
      <c r="M499" s="18"/>
      <c r="N499" s="18"/>
      <c r="O499" s="21"/>
      <c r="P499" s="21"/>
      <c r="Q499" s="21"/>
      <c r="R499" s="21"/>
      <c r="S499" s="21"/>
      <c r="T499" s="21"/>
    </row>
    <row r="500" ht="30" customHeight="1">
      <c r="A500" t="s" s="15">
        <v>1966</v>
      </c>
      <c r="B500" s="16">
        <v>2019</v>
      </c>
      <c r="C500" t="s" s="15">
        <v>1967</v>
      </c>
      <c r="D500" t="s" s="17">
        <v>1968</v>
      </c>
      <c r="E500" t="s" s="17">
        <v>1969</v>
      </c>
      <c r="F500" s="18"/>
      <c r="G500" s="19">
        <v>3</v>
      </c>
      <c r="H500" t="s" s="20">
        <v>46</v>
      </c>
      <c r="I500" t="s" s="17">
        <v>26</v>
      </c>
      <c r="J500" t="s" s="17">
        <v>93</v>
      </c>
      <c r="K500" t="s" s="17">
        <v>1472</v>
      </c>
      <c r="L500" t="s" s="17">
        <v>26</v>
      </c>
      <c r="M500" s="18"/>
      <c r="N500" t="s" s="17">
        <v>662</v>
      </c>
      <c r="O500" t="s" s="20">
        <v>1970</v>
      </c>
      <c r="P500" s="21"/>
      <c r="Q500" s="21"/>
      <c r="R500" s="21"/>
      <c r="S500" s="21"/>
      <c r="T500" s="21"/>
    </row>
    <row r="501" ht="75" customHeight="1">
      <c r="A501" t="s" s="15">
        <v>1971</v>
      </c>
      <c r="B501" s="16">
        <v>2020</v>
      </c>
      <c r="C501" t="s" s="15">
        <v>1967</v>
      </c>
      <c r="D501" t="s" s="17">
        <v>1972</v>
      </c>
      <c r="E501" t="s" s="17">
        <v>1973</v>
      </c>
      <c r="F501" s="18"/>
      <c r="G501" s="19">
        <v>2</v>
      </c>
      <c r="H501" t="s" s="20">
        <v>25</v>
      </c>
      <c r="I501" t="s" s="17">
        <v>42</v>
      </c>
      <c r="J501" s="18"/>
      <c r="K501" t="s" s="17">
        <v>892</v>
      </c>
      <c r="L501" t="s" s="17">
        <v>26</v>
      </c>
      <c r="M501" s="18"/>
      <c r="N501" t="s" s="17">
        <v>316</v>
      </c>
      <c r="O501" t="s" s="20">
        <v>1974</v>
      </c>
      <c r="P501" s="21"/>
      <c r="Q501" s="21"/>
      <c r="R501" s="21"/>
      <c r="S501" s="21"/>
      <c r="T501" s="21"/>
    </row>
    <row r="502" ht="30" customHeight="1">
      <c r="A502" t="s" s="15">
        <v>1975</v>
      </c>
      <c r="B502" s="16">
        <v>2021</v>
      </c>
      <c r="C502" t="s" s="15">
        <v>1967</v>
      </c>
      <c r="D502" t="s" s="17">
        <v>1976</v>
      </c>
      <c r="E502" t="s" s="17">
        <v>1977</v>
      </c>
      <c r="F502" s="18"/>
      <c r="G502" s="19">
        <v>2</v>
      </c>
      <c r="H502" t="s" s="20">
        <v>25</v>
      </c>
      <c r="I502" t="s" s="17">
        <v>42</v>
      </c>
      <c r="J502" s="18"/>
      <c r="K502" t="s" s="17">
        <v>1978</v>
      </c>
      <c r="L502" t="s" s="17">
        <v>42</v>
      </c>
      <c r="M502" t="s" s="17">
        <v>44</v>
      </c>
      <c r="N502" s="18"/>
      <c r="O502" s="21"/>
      <c r="P502" t="s" s="20">
        <v>46</v>
      </c>
      <c r="Q502" t="s" s="20">
        <v>277</v>
      </c>
      <c r="R502" s="21"/>
      <c r="S502" t="s" s="20">
        <v>47</v>
      </c>
      <c r="T502" t="s" s="20">
        <v>1979</v>
      </c>
    </row>
    <row r="503" ht="30" customHeight="1">
      <c r="A503" t="s" s="15">
        <v>1980</v>
      </c>
      <c r="B503" s="16">
        <v>2009</v>
      </c>
      <c r="C503" t="s" s="15">
        <v>1981</v>
      </c>
      <c r="D503" t="s" s="17">
        <v>1982</v>
      </c>
      <c r="E503" t="s" s="17">
        <v>1983</v>
      </c>
      <c r="F503" s="18"/>
      <c r="G503" s="19">
        <v>2</v>
      </c>
      <c r="H503" t="s" s="20">
        <v>25</v>
      </c>
      <c r="I503" t="s" s="17">
        <v>26</v>
      </c>
      <c r="J503" t="s" s="17">
        <v>66</v>
      </c>
      <c r="K503" s="18"/>
      <c r="L503" s="18"/>
      <c r="M503" s="18"/>
      <c r="N503" s="18"/>
      <c r="O503" s="21"/>
      <c r="P503" s="21"/>
      <c r="Q503" s="21"/>
      <c r="R503" s="21"/>
      <c r="S503" s="21"/>
      <c r="T503" s="21"/>
    </row>
    <row r="504" ht="30" customHeight="1">
      <c r="A504" t="s" s="15">
        <v>1984</v>
      </c>
      <c r="B504" s="16">
        <v>2011</v>
      </c>
      <c r="C504" t="s" s="15">
        <v>1985</v>
      </c>
      <c r="D504" t="s" s="17">
        <v>1986</v>
      </c>
      <c r="E504" s="18"/>
      <c r="F504" s="18"/>
      <c r="G504" s="19">
        <v>3</v>
      </c>
      <c r="H504" t="s" s="20">
        <v>25</v>
      </c>
      <c r="I504" t="s" s="17">
        <v>26</v>
      </c>
      <c r="J504" t="s" s="17">
        <v>591</v>
      </c>
      <c r="K504" s="18"/>
      <c r="L504" s="18"/>
      <c r="M504" s="18"/>
      <c r="N504" s="18"/>
      <c r="O504" s="21"/>
      <c r="P504" s="21"/>
      <c r="Q504" s="21"/>
      <c r="R504" s="21"/>
      <c r="S504" s="21"/>
      <c r="T504" s="21"/>
    </row>
    <row r="505" ht="30" customHeight="1">
      <c r="A505" t="s" s="15">
        <v>1987</v>
      </c>
      <c r="B505" s="16">
        <v>2014</v>
      </c>
      <c r="C505" t="s" s="15">
        <v>1985</v>
      </c>
      <c r="D505" t="s" s="17">
        <v>1988</v>
      </c>
      <c r="E505" t="s" s="17">
        <v>1989</v>
      </c>
      <c r="F505" s="18"/>
      <c r="G505" s="19">
        <v>2</v>
      </c>
      <c r="H505" t="s" s="20">
        <v>25</v>
      </c>
      <c r="I505" t="s" s="17">
        <v>26</v>
      </c>
      <c r="J505" t="s" s="17">
        <v>102</v>
      </c>
      <c r="K505" s="18"/>
      <c r="L505" s="18"/>
      <c r="M505" s="18"/>
      <c r="N505" s="18"/>
      <c r="O505" s="21"/>
      <c r="P505" s="21"/>
      <c r="Q505" s="21"/>
      <c r="R505" s="21"/>
      <c r="S505" s="21"/>
      <c r="T505" s="21"/>
    </row>
    <row r="506" ht="30" customHeight="1">
      <c r="A506" t="s" s="15">
        <v>1990</v>
      </c>
      <c r="B506" s="16">
        <v>2016</v>
      </c>
      <c r="C506" t="s" s="15">
        <v>1985</v>
      </c>
      <c r="D506" t="s" s="17">
        <v>1991</v>
      </c>
      <c r="E506" t="s" s="17">
        <v>1992</v>
      </c>
      <c r="F506" s="18"/>
      <c r="G506" s="19">
        <v>3</v>
      </c>
      <c r="H506" t="s" s="20">
        <v>46</v>
      </c>
      <c r="I506" t="s" s="17">
        <v>26</v>
      </c>
      <c r="J506" t="s" s="17">
        <v>93</v>
      </c>
      <c r="K506" t="s" s="17">
        <v>1993</v>
      </c>
      <c r="L506" s="18"/>
      <c r="M506" s="18"/>
      <c r="N506" s="18"/>
      <c r="O506" s="21"/>
      <c r="P506" s="21"/>
      <c r="Q506" s="21"/>
      <c r="R506" s="21"/>
      <c r="S506" s="21"/>
      <c r="T506" s="21"/>
    </row>
    <row r="507" ht="30" customHeight="1">
      <c r="A507" t="s" s="15">
        <v>1994</v>
      </c>
      <c r="B507" s="16">
        <v>2020</v>
      </c>
      <c r="C507" t="s" s="15">
        <v>1985</v>
      </c>
      <c r="D507" t="s" s="17">
        <v>1995</v>
      </c>
      <c r="E507" t="s" s="17">
        <v>1996</v>
      </c>
      <c r="F507" s="18"/>
      <c r="G507" s="19">
        <v>3</v>
      </c>
      <c r="H507" t="s" s="20">
        <v>25</v>
      </c>
      <c r="I507" t="s" s="17">
        <v>26</v>
      </c>
      <c r="J507" t="s" s="17">
        <v>31</v>
      </c>
      <c r="K507" t="s" s="17">
        <v>454</v>
      </c>
      <c r="L507" s="18"/>
      <c r="M507" s="18"/>
      <c r="N507" s="18"/>
      <c r="O507" s="21"/>
      <c r="P507" s="21"/>
      <c r="Q507" s="21"/>
      <c r="R507" s="21"/>
      <c r="S507" s="21"/>
      <c r="T507" s="21"/>
    </row>
    <row r="508" ht="26.55" customHeight="1">
      <c r="A508" t="s" s="15">
        <v>1997</v>
      </c>
      <c r="B508" s="16">
        <v>2021</v>
      </c>
      <c r="C508" t="s" s="15">
        <v>1985</v>
      </c>
      <c r="D508" t="s" s="17">
        <v>1998</v>
      </c>
      <c r="E508" t="s" s="17">
        <v>1999</v>
      </c>
      <c r="F508" s="18"/>
      <c r="G508" s="19">
        <v>2</v>
      </c>
      <c r="H508" t="s" s="20">
        <v>25</v>
      </c>
      <c r="I508" t="s" s="17">
        <v>26</v>
      </c>
      <c r="J508" t="s" s="17">
        <v>85</v>
      </c>
      <c r="K508" s="18"/>
      <c r="L508" s="18"/>
      <c r="M508" s="18"/>
      <c r="N508" s="18"/>
      <c r="O508" s="21"/>
      <c r="P508" s="21"/>
      <c r="Q508" s="21"/>
      <c r="R508" s="21"/>
      <c r="S508" s="21"/>
      <c r="T508" s="21"/>
    </row>
    <row r="509" ht="30" customHeight="1">
      <c r="A509" t="s" s="15">
        <v>2000</v>
      </c>
      <c r="B509" s="16">
        <v>2021</v>
      </c>
      <c r="C509" t="s" s="15">
        <v>1985</v>
      </c>
      <c r="D509" t="s" s="17">
        <v>1998</v>
      </c>
      <c r="E509" t="s" s="17">
        <v>2001</v>
      </c>
      <c r="F509" s="18"/>
      <c r="G509" s="19">
        <v>2</v>
      </c>
      <c r="H509" t="s" s="20">
        <v>25</v>
      </c>
      <c r="I509" t="s" s="17">
        <v>26</v>
      </c>
      <c r="J509" t="s" s="17">
        <v>2002</v>
      </c>
      <c r="K509" s="18"/>
      <c r="L509" s="18"/>
      <c r="M509" s="18"/>
      <c r="N509" s="18"/>
      <c r="O509" s="21"/>
      <c r="P509" s="21"/>
      <c r="Q509" s="21"/>
      <c r="R509" s="21"/>
      <c r="S509" s="21"/>
      <c r="T509" s="21"/>
    </row>
    <row r="510" ht="26.55" customHeight="1">
      <c r="A510" t="s" s="15">
        <v>2003</v>
      </c>
      <c r="B510" s="16">
        <v>2021</v>
      </c>
      <c r="C510" t="s" s="15">
        <v>1985</v>
      </c>
      <c r="D510" t="s" s="17">
        <v>1998</v>
      </c>
      <c r="E510" t="s" s="17">
        <v>2004</v>
      </c>
      <c r="F510" s="18"/>
      <c r="G510" s="19">
        <v>3</v>
      </c>
      <c r="H510" t="s" s="20">
        <v>46</v>
      </c>
      <c r="I510" t="s" s="17">
        <v>26</v>
      </c>
      <c r="J510" t="s" s="17">
        <v>31</v>
      </c>
      <c r="K510" s="18"/>
      <c r="L510" s="18"/>
      <c r="M510" s="18"/>
      <c r="N510" s="18"/>
      <c r="O510" s="21"/>
      <c r="P510" s="21"/>
      <c r="Q510" s="21"/>
      <c r="R510" s="21"/>
      <c r="S510" s="21"/>
      <c r="T510" s="21"/>
    </row>
    <row r="511" ht="30" customHeight="1">
      <c r="A511" t="s" s="15">
        <v>2005</v>
      </c>
      <c r="B511" s="16">
        <v>2022</v>
      </c>
      <c r="C511" t="s" s="15">
        <v>2006</v>
      </c>
      <c r="D511" t="s" s="17">
        <v>2007</v>
      </c>
      <c r="E511" t="s" s="17">
        <v>2008</v>
      </c>
      <c r="F511" s="18"/>
      <c r="G511" s="19">
        <v>3</v>
      </c>
      <c r="H511" t="s" s="20">
        <v>46</v>
      </c>
      <c r="I511" t="s" s="17">
        <v>26</v>
      </c>
      <c r="J511" t="s" s="17">
        <v>131</v>
      </c>
      <c r="K511" t="s" s="17">
        <v>2009</v>
      </c>
      <c r="L511" s="18"/>
      <c r="M511" s="18"/>
      <c r="N511" s="18"/>
      <c r="O511" s="21"/>
      <c r="P511" s="21"/>
      <c r="Q511" s="21"/>
      <c r="R511" s="21"/>
      <c r="S511" s="21"/>
      <c r="T511" s="21"/>
    </row>
    <row r="512" ht="30" customHeight="1">
      <c r="A512" t="s" s="15">
        <v>2010</v>
      </c>
      <c r="B512" s="16">
        <v>2013</v>
      </c>
      <c r="C512" t="s" s="15">
        <v>2011</v>
      </c>
      <c r="D512" t="s" s="17">
        <v>2012</v>
      </c>
      <c r="E512" t="s" s="17">
        <v>2013</v>
      </c>
      <c r="F512" s="18"/>
      <c r="G512" s="19">
        <v>3</v>
      </c>
      <c r="H512" t="s" s="20">
        <v>46</v>
      </c>
      <c r="I512" t="s" s="17">
        <v>42</v>
      </c>
      <c r="J512" s="18"/>
      <c r="K512" t="s" s="17">
        <v>43</v>
      </c>
      <c r="L512" t="s" s="17">
        <v>42</v>
      </c>
      <c r="M512" t="s" s="17">
        <v>505</v>
      </c>
      <c r="N512" s="18"/>
      <c r="O512" s="21"/>
      <c r="P512" t="s" s="20">
        <v>25</v>
      </c>
      <c r="Q512" s="21"/>
      <c r="R512" t="s" s="20">
        <v>2014</v>
      </c>
      <c r="S512" s="21"/>
      <c r="T512" s="21"/>
    </row>
    <row r="513" ht="30" customHeight="1">
      <c r="A513" t="s" s="15">
        <v>2015</v>
      </c>
      <c r="B513" s="16">
        <v>2012</v>
      </c>
      <c r="C513" t="s" s="15">
        <v>2016</v>
      </c>
      <c r="D513" t="s" s="17">
        <v>2017</v>
      </c>
      <c r="E513" t="s" s="17">
        <v>2018</v>
      </c>
      <c r="F513" s="18"/>
      <c r="G513" s="19">
        <v>2</v>
      </c>
      <c r="H513" t="s" s="20">
        <v>25</v>
      </c>
      <c r="I513" t="s" s="17">
        <v>26</v>
      </c>
      <c r="J513" t="s" s="17">
        <v>52</v>
      </c>
      <c r="K513" s="18"/>
      <c r="L513" s="18"/>
      <c r="M513" s="18"/>
      <c r="N513" s="18"/>
      <c r="O513" s="21"/>
      <c r="P513" s="21"/>
      <c r="Q513" s="21"/>
      <c r="R513" s="21"/>
      <c r="S513" s="21"/>
      <c r="T513" s="21"/>
    </row>
    <row r="514" ht="45" customHeight="1">
      <c r="A514" t="s" s="15">
        <v>2019</v>
      </c>
      <c r="B514" s="16">
        <v>2010</v>
      </c>
      <c r="C514" t="s" s="15">
        <v>2020</v>
      </c>
      <c r="D514" t="s" s="17">
        <v>2021</v>
      </c>
      <c r="E514" t="s" s="17">
        <v>2022</v>
      </c>
      <c r="F514" s="18"/>
      <c r="G514" s="19">
        <v>2</v>
      </c>
      <c r="H514" t="s" s="20">
        <v>25</v>
      </c>
      <c r="I514" t="s" s="17">
        <v>26</v>
      </c>
      <c r="J514" t="s" s="17">
        <v>27</v>
      </c>
      <c r="K514" s="18"/>
      <c r="L514" s="18"/>
      <c r="M514" s="18"/>
      <c r="N514" s="18"/>
      <c r="O514" s="21"/>
      <c r="P514" s="21"/>
      <c r="Q514" s="21"/>
      <c r="R514" s="21"/>
      <c r="S514" s="21"/>
      <c r="T514" s="21"/>
    </row>
    <row r="515" ht="30" customHeight="1">
      <c r="A515" t="s" s="15">
        <v>2023</v>
      </c>
      <c r="B515" s="16">
        <v>2013</v>
      </c>
      <c r="C515" t="s" s="15">
        <v>2020</v>
      </c>
      <c r="D515" t="s" s="17">
        <v>2024</v>
      </c>
      <c r="E515" t="s" s="17">
        <v>2025</v>
      </c>
      <c r="F515" s="18"/>
      <c r="G515" s="19">
        <v>2</v>
      </c>
      <c r="H515" t="s" s="20">
        <v>25</v>
      </c>
      <c r="I515" t="s" s="17">
        <v>42</v>
      </c>
      <c r="J515" s="18"/>
      <c r="K515" t="s" s="17">
        <v>43</v>
      </c>
      <c r="L515" t="s" s="17">
        <v>42</v>
      </c>
      <c r="M515" t="s" s="17">
        <v>44</v>
      </c>
      <c r="N515" s="18"/>
      <c r="O515" s="21"/>
      <c r="P515" t="s" s="20">
        <v>46</v>
      </c>
      <c r="Q515" t="s" s="20">
        <v>47</v>
      </c>
      <c r="R515" t="s" s="20">
        <v>2026</v>
      </c>
      <c r="S515" t="s" s="20">
        <v>47</v>
      </c>
      <c r="T515" s="21"/>
    </row>
    <row r="516" ht="26.55" customHeight="1">
      <c r="A516" t="s" s="15">
        <v>2027</v>
      </c>
      <c r="B516" t="s" s="15">
        <v>2028</v>
      </c>
      <c r="C516" t="s" s="15">
        <v>2020</v>
      </c>
      <c r="D516" t="s" s="17">
        <v>2029</v>
      </c>
      <c r="E516" t="s" s="17">
        <v>2030</v>
      </c>
      <c r="F516" s="18"/>
      <c r="G516" s="19">
        <v>2</v>
      </c>
      <c r="H516" t="s" s="20">
        <v>25</v>
      </c>
      <c r="I516" t="s" s="17">
        <v>26</v>
      </c>
      <c r="J516" t="s" s="17">
        <v>31</v>
      </c>
      <c r="K516" t="s" s="17">
        <v>86</v>
      </c>
      <c r="L516" s="18"/>
      <c r="M516" s="18"/>
      <c r="N516" s="18"/>
      <c r="O516" s="21"/>
      <c r="P516" s="21"/>
      <c r="Q516" s="21"/>
      <c r="R516" s="21"/>
      <c r="S516" s="21"/>
      <c r="T516" s="21"/>
    </row>
    <row r="517" ht="30" customHeight="1">
      <c r="A517" t="s" s="15">
        <v>2031</v>
      </c>
      <c r="B517" s="16">
        <v>2014</v>
      </c>
      <c r="C517" t="s" s="15">
        <v>2020</v>
      </c>
      <c r="D517" t="s" s="17">
        <v>2032</v>
      </c>
      <c r="E517" t="s" s="17">
        <v>2033</v>
      </c>
      <c r="F517" s="18"/>
      <c r="G517" s="19">
        <v>3</v>
      </c>
      <c r="H517" t="s" s="20">
        <v>46</v>
      </c>
      <c r="I517" t="s" s="17">
        <v>26</v>
      </c>
      <c r="J517" t="s" s="17">
        <v>405</v>
      </c>
      <c r="K517" s="18"/>
      <c r="L517" s="18"/>
      <c r="M517" s="18"/>
      <c r="N517" s="18"/>
      <c r="O517" s="21"/>
      <c r="P517" s="21"/>
      <c r="Q517" s="21"/>
      <c r="R517" s="21"/>
      <c r="S517" s="21"/>
      <c r="T517" s="21"/>
    </row>
    <row r="518" ht="30" customHeight="1">
      <c r="A518" t="s" s="15">
        <v>2034</v>
      </c>
      <c r="B518" s="16">
        <v>2014</v>
      </c>
      <c r="C518" t="s" s="15">
        <v>2020</v>
      </c>
      <c r="D518" t="s" s="17">
        <v>2032</v>
      </c>
      <c r="E518" t="s" s="17">
        <v>2035</v>
      </c>
      <c r="F518" s="18"/>
      <c r="G518" s="19">
        <v>3</v>
      </c>
      <c r="H518" t="s" s="20">
        <v>25</v>
      </c>
      <c r="I518" t="s" s="17">
        <v>26</v>
      </c>
      <c r="J518" t="s" s="17">
        <v>93</v>
      </c>
      <c r="K518" s="18"/>
      <c r="L518" s="18"/>
      <c r="M518" s="18"/>
      <c r="N518" s="18"/>
      <c r="O518" s="21"/>
      <c r="P518" s="21"/>
      <c r="Q518" s="21"/>
      <c r="R518" s="21"/>
      <c r="S518" s="21"/>
      <c r="T518" s="21"/>
    </row>
    <row r="519" ht="45" customHeight="1">
      <c r="A519" t="s" s="15">
        <v>2036</v>
      </c>
      <c r="B519" s="16">
        <v>2014</v>
      </c>
      <c r="C519" t="s" s="15">
        <v>2020</v>
      </c>
      <c r="D519" t="s" s="17">
        <v>2032</v>
      </c>
      <c r="E519" t="s" s="17">
        <v>2037</v>
      </c>
      <c r="F519" s="18"/>
      <c r="G519" s="19">
        <v>3</v>
      </c>
      <c r="H519" t="s" s="20">
        <v>46</v>
      </c>
      <c r="I519" t="s" s="17">
        <v>26</v>
      </c>
      <c r="J519" t="s" s="17">
        <v>31</v>
      </c>
      <c r="K519" s="18"/>
      <c r="L519" s="18"/>
      <c r="M519" s="18"/>
      <c r="N519" s="18"/>
      <c r="O519" s="21"/>
      <c r="P519" s="21"/>
      <c r="Q519" s="21"/>
      <c r="R519" s="21"/>
      <c r="S519" s="21"/>
      <c r="T519" s="21"/>
    </row>
    <row r="520" ht="30" customHeight="1">
      <c r="A520" t="s" s="15">
        <v>2038</v>
      </c>
      <c r="B520" s="16">
        <v>2015</v>
      </c>
      <c r="C520" t="s" s="15">
        <v>2020</v>
      </c>
      <c r="D520" t="s" s="17">
        <v>2039</v>
      </c>
      <c r="E520" t="s" s="17">
        <v>2040</v>
      </c>
      <c r="F520" s="18"/>
      <c r="G520" s="19">
        <v>3</v>
      </c>
      <c r="H520" t="s" s="20">
        <v>46</v>
      </c>
      <c r="I520" t="s" s="17">
        <v>26</v>
      </c>
      <c r="J520" t="s" s="17">
        <v>405</v>
      </c>
      <c r="K520" s="18"/>
      <c r="L520" s="18"/>
      <c r="M520" s="18"/>
      <c r="N520" s="18"/>
      <c r="O520" s="21"/>
      <c r="P520" s="21"/>
      <c r="Q520" s="21"/>
      <c r="R520" s="21"/>
      <c r="S520" s="21"/>
      <c r="T520" s="21"/>
    </row>
    <row r="521" ht="30" customHeight="1">
      <c r="A521" t="s" s="15">
        <v>2041</v>
      </c>
      <c r="B521" s="16">
        <v>2018</v>
      </c>
      <c r="C521" t="s" s="15">
        <v>2020</v>
      </c>
      <c r="D521" t="s" s="17">
        <v>2042</v>
      </c>
      <c r="E521" t="s" s="17">
        <v>2043</v>
      </c>
      <c r="F521" s="18"/>
      <c r="G521" s="19">
        <v>3</v>
      </c>
      <c r="H521" t="s" s="20">
        <v>46</v>
      </c>
      <c r="I521" t="s" s="17">
        <v>42</v>
      </c>
      <c r="J521" s="18"/>
      <c r="K521" t="s" s="17">
        <v>1467</v>
      </c>
      <c r="L521" t="s" s="17">
        <v>26</v>
      </c>
      <c r="M521" s="18"/>
      <c r="N521" t="s" s="17">
        <v>316</v>
      </c>
      <c r="O521" t="s" s="20">
        <v>2044</v>
      </c>
      <c r="P521" s="21"/>
      <c r="Q521" s="21"/>
      <c r="R521" s="21"/>
      <c r="S521" s="21"/>
      <c r="T521" s="21"/>
    </row>
    <row r="522" ht="30" customHeight="1">
      <c r="A522" t="s" s="15">
        <v>2045</v>
      </c>
      <c r="B522" s="16">
        <v>2022</v>
      </c>
      <c r="C522" t="s" s="15">
        <v>2020</v>
      </c>
      <c r="D522" t="s" s="17">
        <v>2046</v>
      </c>
      <c r="E522" t="s" s="17">
        <v>2047</v>
      </c>
      <c r="F522" s="18"/>
      <c r="G522" s="19">
        <v>3</v>
      </c>
      <c r="H522" t="s" s="20">
        <v>46</v>
      </c>
      <c r="I522" t="s" s="17">
        <v>26</v>
      </c>
      <c r="J522" t="s" s="17">
        <v>93</v>
      </c>
      <c r="K522" t="s" s="17">
        <v>1472</v>
      </c>
      <c r="L522" s="18"/>
      <c r="M522" s="18"/>
      <c r="N522" s="18"/>
      <c r="O522" s="21"/>
      <c r="P522" s="21"/>
      <c r="Q522" s="21"/>
      <c r="R522" s="21"/>
      <c r="S522" s="21"/>
      <c r="T522" s="21"/>
    </row>
    <row r="523" ht="30" customHeight="1">
      <c r="A523" t="s" s="15">
        <v>2048</v>
      </c>
      <c r="B523" s="16">
        <v>2012</v>
      </c>
      <c r="C523" t="s" s="15">
        <v>2049</v>
      </c>
      <c r="D523" t="s" s="17">
        <v>2050</v>
      </c>
      <c r="E523" t="s" s="17">
        <v>2051</v>
      </c>
      <c r="F523" s="18"/>
      <c r="G523" s="19">
        <v>3</v>
      </c>
      <c r="H523" t="s" s="20">
        <v>46</v>
      </c>
      <c r="I523" t="s" s="17">
        <v>42</v>
      </c>
      <c r="J523" s="18"/>
      <c r="K523" t="s" s="17">
        <v>892</v>
      </c>
      <c r="L523" t="s" s="17">
        <v>42</v>
      </c>
      <c r="M523" t="s" s="17">
        <v>212</v>
      </c>
      <c r="N523" s="18"/>
      <c r="O523" s="21"/>
      <c r="P523" t="s" s="20">
        <v>25</v>
      </c>
      <c r="Q523" s="21"/>
      <c r="R523" s="21"/>
      <c r="S523" s="21"/>
      <c r="T523" s="21"/>
    </row>
    <row r="524" ht="26.55" customHeight="1">
      <c r="A524" t="s" s="15">
        <v>2052</v>
      </c>
      <c r="B524" s="16">
        <v>2013</v>
      </c>
      <c r="C524" t="s" s="15">
        <v>2049</v>
      </c>
      <c r="D524" t="s" s="17">
        <v>2053</v>
      </c>
      <c r="E524" t="s" s="17">
        <v>2054</v>
      </c>
      <c r="F524" s="18"/>
      <c r="G524" s="19">
        <v>3</v>
      </c>
      <c r="H524" t="s" s="20">
        <v>46</v>
      </c>
      <c r="I524" t="s" s="17">
        <v>42</v>
      </c>
      <c r="J524" t="s" s="17">
        <v>85</v>
      </c>
      <c r="K524" t="s" s="17">
        <v>797</v>
      </c>
      <c r="L524" s="18"/>
      <c r="M524" s="18"/>
      <c r="N524" s="18"/>
      <c r="O524" s="21"/>
      <c r="P524" s="21"/>
      <c r="Q524" s="21"/>
      <c r="R524" s="21"/>
      <c r="S524" s="21"/>
      <c r="T524" s="21"/>
    </row>
    <row r="525" ht="30" customHeight="1">
      <c r="A525" t="s" s="15">
        <v>2055</v>
      </c>
      <c r="B525" s="16">
        <v>2017</v>
      </c>
      <c r="C525" t="s" s="15">
        <v>2049</v>
      </c>
      <c r="D525" t="s" s="17">
        <v>2056</v>
      </c>
      <c r="E525" t="s" s="17">
        <v>2057</v>
      </c>
      <c r="F525" s="18"/>
      <c r="G525" s="19">
        <v>3</v>
      </c>
      <c r="H525" t="s" s="20">
        <v>46</v>
      </c>
      <c r="I525" t="s" s="17">
        <v>42</v>
      </c>
      <c r="J525" t="s" s="17">
        <v>85</v>
      </c>
      <c r="K525" t="s" s="17">
        <v>262</v>
      </c>
      <c r="L525" s="18"/>
      <c r="M525" s="18"/>
      <c r="N525" s="18"/>
      <c r="O525" s="21"/>
      <c r="P525" s="21"/>
      <c r="Q525" s="21"/>
      <c r="R525" s="21"/>
      <c r="S525" s="21"/>
      <c r="T525" s="21"/>
    </row>
    <row r="526" ht="30" customHeight="1">
      <c r="A526" t="s" s="15">
        <v>2058</v>
      </c>
      <c r="B526" t="s" s="15">
        <v>2059</v>
      </c>
      <c r="C526" t="s" s="15">
        <v>2049</v>
      </c>
      <c r="D526" t="s" s="17">
        <v>2060</v>
      </c>
      <c r="E526" t="s" s="17">
        <v>2061</v>
      </c>
      <c r="F526" s="18"/>
      <c r="G526" s="19">
        <v>3</v>
      </c>
      <c r="H526" t="s" s="20">
        <v>46</v>
      </c>
      <c r="I526" t="s" s="17">
        <v>42</v>
      </c>
      <c r="J526" s="18"/>
      <c r="K526" t="s" s="17">
        <v>241</v>
      </c>
      <c r="L526" t="s" s="17">
        <v>42</v>
      </c>
      <c r="M526" t="s" s="17">
        <v>212</v>
      </c>
      <c r="N526" s="18"/>
      <c r="O526" s="21"/>
      <c r="P526" t="s" s="20">
        <v>25</v>
      </c>
      <c r="Q526" s="21"/>
      <c r="R526" s="21"/>
      <c r="S526" s="21"/>
      <c r="T526" s="21"/>
    </row>
    <row r="527" ht="30" customHeight="1">
      <c r="A527" t="s" s="15">
        <v>2062</v>
      </c>
      <c r="B527" s="16">
        <v>2010</v>
      </c>
      <c r="C527" t="s" s="15">
        <v>2063</v>
      </c>
      <c r="D527" t="s" s="17">
        <v>2064</v>
      </c>
      <c r="E527" t="s" s="17">
        <v>2065</v>
      </c>
      <c r="F527" s="18"/>
      <c r="G527" s="19">
        <v>2</v>
      </c>
      <c r="H527" t="s" s="20">
        <v>25</v>
      </c>
      <c r="I527" t="s" s="17">
        <v>26</v>
      </c>
      <c r="J527" t="s" s="17">
        <v>85</v>
      </c>
      <c r="K527" s="18"/>
      <c r="L527" s="18"/>
      <c r="M527" s="18"/>
      <c r="N527" s="18"/>
      <c r="O527" s="21"/>
      <c r="P527" s="21"/>
      <c r="Q527" s="21"/>
      <c r="R527" s="21"/>
      <c r="S527" s="21"/>
      <c r="T527" s="21"/>
    </row>
    <row r="528" ht="30" customHeight="1">
      <c r="A528" t="s" s="15">
        <v>2066</v>
      </c>
      <c r="B528" s="16">
        <v>2017</v>
      </c>
      <c r="C528" t="s" s="15">
        <v>2067</v>
      </c>
      <c r="D528" t="s" s="17">
        <v>2068</v>
      </c>
      <c r="E528" t="s" s="17">
        <v>2069</v>
      </c>
      <c r="F528" s="18"/>
      <c r="G528" s="19">
        <v>3</v>
      </c>
      <c r="H528" t="s" s="20">
        <v>46</v>
      </c>
      <c r="I528" t="s" s="17">
        <v>26</v>
      </c>
      <c r="J528" t="s" s="17">
        <v>2070</v>
      </c>
      <c r="K528" t="s" s="17">
        <v>306</v>
      </c>
      <c r="L528" s="18"/>
      <c r="M528" s="18"/>
      <c r="N528" s="18"/>
      <c r="O528" s="21"/>
      <c r="P528" s="21"/>
      <c r="Q528" s="21"/>
      <c r="R528" s="21"/>
      <c r="S528" s="21"/>
      <c r="T528" s="21"/>
    </row>
    <row r="529" ht="30" customHeight="1">
      <c r="A529" t="s" s="15">
        <v>2071</v>
      </c>
      <c r="B529" s="16">
        <v>2022</v>
      </c>
      <c r="C529" t="s" s="15">
        <v>2067</v>
      </c>
      <c r="D529" t="s" s="17">
        <v>2072</v>
      </c>
      <c r="E529" t="s" s="17">
        <v>2073</v>
      </c>
      <c r="F529" s="18"/>
      <c r="G529" s="19">
        <v>3</v>
      </c>
      <c r="H529" t="s" s="20">
        <v>46</v>
      </c>
      <c r="I529" t="s" s="17">
        <v>26</v>
      </c>
      <c r="J529" t="s" s="17">
        <v>85</v>
      </c>
      <c r="K529" s="18"/>
      <c r="L529" s="18"/>
      <c r="M529" s="18"/>
      <c r="N529" s="18"/>
      <c r="O529" s="21"/>
      <c r="P529" s="21"/>
      <c r="Q529" s="21"/>
      <c r="R529" s="21"/>
      <c r="S529" s="21"/>
      <c r="T529" s="21"/>
    </row>
    <row r="530" ht="30" customHeight="1">
      <c r="A530" t="s" s="15">
        <v>2074</v>
      </c>
      <c r="B530" s="16">
        <v>2023</v>
      </c>
      <c r="C530" t="s" s="15">
        <v>2075</v>
      </c>
      <c r="D530" t="s" s="17">
        <v>2076</v>
      </c>
      <c r="E530" t="s" s="17">
        <v>2077</v>
      </c>
      <c r="F530" s="18"/>
      <c r="G530" s="19">
        <v>3</v>
      </c>
      <c r="H530" t="s" s="20">
        <v>46</v>
      </c>
      <c r="I530" t="s" s="17">
        <v>26</v>
      </c>
      <c r="J530" t="s" s="17">
        <v>85</v>
      </c>
      <c r="K530" s="18"/>
      <c r="L530" s="18"/>
      <c r="M530" s="18"/>
      <c r="N530" s="18"/>
      <c r="O530" s="21"/>
      <c r="P530" s="21"/>
      <c r="Q530" s="21"/>
      <c r="R530" s="21"/>
      <c r="S530" s="21"/>
      <c r="T530" s="21"/>
    </row>
    <row r="531" ht="30" customHeight="1">
      <c r="A531" t="s" s="15">
        <v>2078</v>
      </c>
      <c r="B531" s="16">
        <v>2012</v>
      </c>
      <c r="C531" t="s" s="15">
        <v>2079</v>
      </c>
      <c r="D531" t="s" s="17">
        <v>2080</v>
      </c>
      <c r="E531" t="s" s="17">
        <v>2081</v>
      </c>
      <c r="F531" s="18"/>
      <c r="G531" s="19">
        <v>2</v>
      </c>
      <c r="H531" t="s" s="20">
        <v>25</v>
      </c>
      <c r="I531" t="s" s="17">
        <v>42</v>
      </c>
      <c r="J531" s="18"/>
      <c r="K531" t="s" s="17">
        <v>1978</v>
      </c>
      <c r="L531" t="s" s="17">
        <v>42</v>
      </c>
      <c r="M531" t="s" s="17">
        <v>44</v>
      </c>
      <c r="N531" s="18"/>
      <c r="O531" s="21"/>
      <c r="P531" t="s" s="20">
        <v>46</v>
      </c>
      <c r="Q531" t="s" s="20">
        <v>277</v>
      </c>
      <c r="R531" s="21"/>
      <c r="S531" t="s" s="20">
        <v>277</v>
      </c>
      <c r="T531" s="21"/>
    </row>
    <row r="532" ht="30" customHeight="1">
      <c r="A532" t="s" s="15">
        <v>2082</v>
      </c>
      <c r="B532" s="16">
        <v>2019</v>
      </c>
      <c r="C532" t="s" s="15">
        <v>2079</v>
      </c>
      <c r="D532" t="s" s="17">
        <v>2083</v>
      </c>
      <c r="E532" t="s" s="17">
        <v>2084</v>
      </c>
      <c r="F532" s="18"/>
      <c r="G532" s="19">
        <v>3</v>
      </c>
      <c r="H532" t="s" s="20">
        <v>46</v>
      </c>
      <c r="I532" t="s" s="17">
        <v>42</v>
      </c>
      <c r="J532" s="18"/>
      <c r="K532" t="s" s="17">
        <v>2085</v>
      </c>
      <c r="L532" t="s" s="17">
        <v>42</v>
      </c>
      <c r="M532" t="s" s="17">
        <v>505</v>
      </c>
      <c r="N532" s="18"/>
      <c r="O532" s="21"/>
      <c r="P532" t="s" s="20">
        <v>46</v>
      </c>
      <c r="Q532" t="s" s="20">
        <v>277</v>
      </c>
      <c r="R532" s="21"/>
      <c r="S532" t="s" s="20">
        <v>277</v>
      </c>
      <c r="T532" s="21"/>
    </row>
    <row r="533" ht="30" customHeight="1">
      <c r="A533" t="s" s="15">
        <v>2086</v>
      </c>
      <c r="B533" s="16">
        <v>2022</v>
      </c>
      <c r="C533" t="s" s="15">
        <v>2087</v>
      </c>
      <c r="D533" t="s" s="17">
        <v>2088</v>
      </c>
      <c r="E533" t="s" s="17">
        <v>2089</v>
      </c>
      <c r="F533" s="18"/>
      <c r="G533" s="19">
        <v>2</v>
      </c>
      <c r="H533" t="s" s="20">
        <v>25</v>
      </c>
      <c r="I533" t="s" s="17">
        <v>26</v>
      </c>
      <c r="J533" t="s" s="17">
        <v>93</v>
      </c>
      <c r="K533" s="18"/>
      <c r="L533" s="18"/>
      <c r="M533" s="18"/>
      <c r="N533" s="18"/>
      <c r="O533" s="21"/>
      <c r="P533" s="21"/>
      <c r="Q533" s="21"/>
      <c r="R533" s="21"/>
      <c r="S533" s="21"/>
      <c r="T533" s="21"/>
    </row>
    <row r="534" ht="30" customHeight="1">
      <c r="A534" t="s" s="15">
        <v>2090</v>
      </c>
      <c r="B534" s="16">
        <v>2015</v>
      </c>
      <c r="C534" t="s" s="15">
        <v>2091</v>
      </c>
      <c r="D534" t="s" s="17">
        <v>2092</v>
      </c>
      <c r="E534" t="s" s="17">
        <v>2093</v>
      </c>
      <c r="F534" s="18"/>
      <c r="G534" s="19">
        <v>2</v>
      </c>
      <c r="H534" t="s" s="20">
        <v>25</v>
      </c>
      <c r="I534" t="s" s="17">
        <v>26</v>
      </c>
      <c r="J534" t="s" s="17">
        <v>93</v>
      </c>
      <c r="K534" s="18"/>
      <c r="L534" s="18"/>
      <c r="M534" s="18"/>
      <c r="N534" s="18"/>
      <c r="O534" s="21"/>
      <c r="P534" s="21"/>
      <c r="Q534" s="21"/>
      <c r="R534" s="21"/>
      <c r="S534" s="21"/>
      <c r="T534" s="21"/>
    </row>
    <row r="535" ht="26.55" customHeight="1">
      <c r="A535" t="s" s="15">
        <v>2094</v>
      </c>
      <c r="B535" s="16">
        <v>2006</v>
      </c>
      <c r="C535" t="s" s="15">
        <v>2095</v>
      </c>
      <c r="D535" t="s" s="17">
        <v>2096</v>
      </c>
      <c r="E535" t="s" s="17">
        <v>2097</v>
      </c>
      <c r="F535" s="18"/>
      <c r="G535" s="19">
        <v>2</v>
      </c>
      <c r="H535" t="s" s="20">
        <v>25</v>
      </c>
      <c r="I535" t="s" s="17">
        <v>26</v>
      </c>
      <c r="J535" t="s" s="17">
        <v>102</v>
      </c>
      <c r="K535" s="18"/>
      <c r="L535" s="18"/>
      <c r="M535" s="18"/>
      <c r="N535" s="18"/>
      <c r="O535" s="21"/>
      <c r="P535" s="21"/>
      <c r="Q535" s="21"/>
      <c r="R535" s="21"/>
      <c r="S535" s="21"/>
      <c r="T535" s="21"/>
    </row>
    <row r="536" ht="30" customHeight="1">
      <c r="A536" t="s" s="15">
        <v>2098</v>
      </c>
      <c r="B536" s="16">
        <v>2021</v>
      </c>
      <c r="C536" t="s" s="15">
        <v>2099</v>
      </c>
      <c r="D536" t="s" s="17">
        <v>2100</v>
      </c>
      <c r="E536" t="s" s="17">
        <v>2101</v>
      </c>
      <c r="F536" s="18"/>
      <c r="G536" s="19">
        <v>2</v>
      </c>
      <c r="H536" t="s" s="20">
        <v>25</v>
      </c>
      <c r="I536" t="s" s="17">
        <v>26</v>
      </c>
      <c r="J536" t="s" s="17">
        <v>85</v>
      </c>
      <c r="K536" s="18"/>
      <c r="L536" s="18"/>
      <c r="M536" s="18"/>
      <c r="N536" s="18"/>
      <c r="O536" s="21"/>
      <c r="P536" s="21"/>
      <c r="Q536" s="21"/>
      <c r="R536" s="21"/>
      <c r="S536" s="21"/>
      <c r="T536" s="21"/>
    </row>
    <row r="537" ht="30" customHeight="1">
      <c r="A537" t="s" s="15">
        <v>2102</v>
      </c>
      <c r="B537" s="16">
        <v>2018</v>
      </c>
      <c r="C537" t="s" s="15">
        <v>2103</v>
      </c>
      <c r="D537" t="s" s="17">
        <v>2104</v>
      </c>
      <c r="E537" t="s" s="17">
        <v>2105</v>
      </c>
      <c r="F537" s="18"/>
      <c r="G537" s="19">
        <v>2</v>
      </c>
      <c r="H537" t="s" s="20">
        <v>25</v>
      </c>
      <c r="I537" t="s" s="17">
        <v>26</v>
      </c>
      <c r="J537" t="s" s="17">
        <v>27</v>
      </c>
      <c r="K537" s="18"/>
      <c r="L537" s="18"/>
      <c r="M537" s="18"/>
      <c r="N537" s="18"/>
      <c r="O537" s="21"/>
      <c r="P537" s="21"/>
      <c r="Q537" s="21"/>
      <c r="R537" s="21"/>
      <c r="S537" s="21"/>
      <c r="T537" s="21"/>
    </row>
    <row r="538" ht="45" customHeight="1">
      <c r="A538" t="s" s="15">
        <v>2106</v>
      </c>
      <c r="B538" s="16">
        <v>2011</v>
      </c>
      <c r="C538" t="s" s="15">
        <v>2107</v>
      </c>
      <c r="D538" t="s" s="17">
        <v>2108</v>
      </c>
      <c r="E538" t="s" s="17">
        <v>2109</v>
      </c>
      <c r="F538" s="18"/>
      <c r="G538" s="19">
        <v>3</v>
      </c>
      <c r="H538" t="s" s="20">
        <v>25</v>
      </c>
      <c r="I538" t="s" s="17">
        <v>26</v>
      </c>
      <c r="J538" t="s" s="17">
        <v>93</v>
      </c>
      <c r="K538" s="18"/>
      <c r="L538" s="18"/>
      <c r="M538" s="18"/>
      <c r="N538" s="18"/>
      <c r="O538" s="21"/>
      <c r="P538" s="21"/>
      <c r="Q538" s="21"/>
      <c r="R538" s="21"/>
      <c r="S538" s="21"/>
      <c r="T538" s="21"/>
    </row>
    <row r="539" ht="30" customHeight="1">
      <c r="A539" t="s" s="15">
        <v>2110</v>
      </c>
      <c r="B539" s="16">
        <v>2015</v>
      </c>
      <c r="C539" t="s" s="15">
        <v>2111</v>
      </c>
      <c r="D539" t="s" s="17">
        <v>2112</v>
      </c>
      <c r="E539" t="s" s="17">
        <v>2113</v>
      </c>
      <c r="F539" s="18"/>
      <c r="G539" s="19">
        <v>3</v>
      </c>
      <c r="H539" t="s" s="20">
        <v>46</v>
      </c>
      <c r="I539" t="s" s="17">
        <v>26</v>
      </c>
      <c r="J539" t="s" s="17">
        <v>61</v>
      </c>
      <c r="K539" s="18"/>
      <c r="L539" s="18"/>
      <c r="M539" s="18"/>
      <c r="N539" s="18"/>
      <c r="O539" s="21"/>
      <c r="P539" s="21"/>
      <c r="Q539" s="21"/>
      <c r="R539" s="21"/>
      <c r="S539" s="21"/>
      <c r="T539" s="21"/>
    </row>
    <row r="540" ht="30" customHeight="1">
      <c r="A540" t="s" s="15">
        <v>2114</v>
      </c>
      <c r="B540" s="16">
        <v>2010</v>
      </c>
      <c r="C540" t="s" s="15">
        <v>2115</v>
      </c>
      <c r="D540" t="s" s="17">
        <v>2116</v>
      </c>
      <c r="E540" t="s" s="17">
        <v>2117</v>
      </c>
      <c r="F540" s="18"/>
      <c r="G540" s="19">
        <v>3</v>
      </c>
      <c r="H540" t="s" s="20">
        <v>46</v>
      </c>
      <c r="I540" t="s" s="17">
        <v>26</v>
      </c>
      <c r="J540" t="s" s="17">
        <v>27</v>
      </c>
      <c r="K540" s="18"/>
      <c r="L540" s="18"/>
      <c r="M540" s="18"/>
      <c r="N540" s="18"/>
      <c r="O540" s="21"/>
      <c r="P540" s="21"/>
      <c r="Q540" s="21"/>
      <c r="R540" s="21"/>
      <c r="S540" s="21"/>
      <c r="T540" s="21"/>
    </row>
    <row r="541" ht="30" customHeight="1">
      <c r="A541" t="s" s="15">
        <v>2118</v>
      </c>
      <c r="B541" s="16">
        <v>2013</v>
      </c>
      <c r="C541" t="s" s="15">
        <v>2119</v>
      </c>
      <c r="D541" t="s" s="17">
        <v>2120</v>
      </c>
      <c r="E541" t="s" s="17">
        <v>2121</v>
      </c>
      <c r="F541" s="18"/>
      <c r="G541" s="19">
        <v>2</v>
      </c>
      <c r="H541" t="s" s="20">
        <v>25</v>
      </c>
      <c r="I541" t="s" s="17">
        <v>26</v>
      </c>
      <c r="J541" t="s" s="17">
        <v>1050</v>
      </c>
      <c r="K541" s="18"/>
      <c r="L541" s="18"/>
      <c r="M541" s="18"/>
      <c r="N541" s="18"/>
      <c r="O541" s="21"/>
      <c r="P541" s="21"/>
      <c r="Q541" s="21"/>
      <c r="R541" s="21"/>
      <c r="S541" s="21"/>
      <c r="T541" s="21"/>
    </row>
    <row r="542" ht="30" customHeight="1">
      <c r="A542" t="s" s="15">
        <v>2122</v>
      </c>
      <c r="B542" s="16">
        <v>2013</v>
      </c>
      <c r="C542" t="s" s="15">
        <v>2123</v>
      </c>
      <c r="D542" t="s" s="17">
        <v>2124</v>
      </c>
      <c r="E542" t="s" s="17">
        <v>2125</v>
      </c>
      <c r="F542" s="18"/>
      <c r="G542" s="19">
        <v>2</v>
      </c>
      <c r="H542" t="s" s="20">
        <v>25</v>
      </c>
      <c r="I542" t="s" s="17">
        <v>26</v>
      </c>
      <c r="J542" t="s" s="17">
        <v>27</v>
      </c>
      <c r="K542" s="18"/>
      <c r="L542" s="18"/>
      <c r="M542" s="18"/>
      <c r="N542" s="18"/>
      <c r="O542" s="21"/>
      <c r="P542" s="21"/>
      <c r="Q542" s="21"/>
      <c r="R542" s="21"/>
      <c r="S542" s="21"/>
      <c r="T542" s="21"/>
    </row>
    <row r="543" ht="30" customHeight="1">
      <c r="A543" t="s" s="15">
        <v>2126</v>
      </c>
      <c r="B543" s="16">
        <v>2015</v>
      </c>
      <c r="C543" t="s" s="15">
        <v>2127</v>
      </c>
      <c r="D543" t="s" s="17">
        <v>2128</v>
      </c>
      <c r="E543" t="s" s="17">
        <v>2129</v>
      </c>
      <c r="F543" s="18"/>
      <c r="G543" s="19">
        <v>2</v>
      </c>
      <c r="H543" t="s" s="20">
        <v>25</v>
      </c>
      <c r="I543" t="s" s="17">
        <v>26</v>
      </c>
      <c r="J543" t="s" s="17">
        <v>2130</v>
      </c>
      <c r="K543" s="18"/>
      <c r="L543" s="18"/>
      <c r="M543" s="18"/>
      <c r="N543" s="18"/>
      <c r="O543" s="21"/>
      <c r="P543" s="21"/>
      <c r="Q543" s="21"/>
      <c r="R543" s="21"/>
      <c r="S543" s="21"/>
      <c r="T543" s="21"/>
    </row>
    <row r="544" ht="30" customHeight="1">
      <c r="A544" t="s" s="15">
        <v>2131</v>
      </c>
      <c r="B544" s="16">
        <v>2018</v>
      </c>
      <c r="C544" t="s" s="15">
        <v>2132</v>
      </c>
      <c r="D544" t="s" s="17">
        <v>2133</v>
      </c>
      <c r="E544" t="s" s="17">
        <v>2134</v>
      </c>
      <c r="F544" s="18"/>
      <c r="G544" s="19">
        <v>2</v>
      </c>
      <c r="H544" t="s" s="20">
        <v>25</v>
      </c>
      <c r="I544" t="s" s="17">
        <v>26</v>
      </c>
      <c r="J544" t="s" s="17">
        <v>27</v>
      </c>
      <c r="K544" s="18"/>
      <c r="L544" s="18"/>
      <c r="M544" s="18"/>
      <c r="N544" s="18"/>
      <c r="O544" s="21"/>
      <c r="P544" s="21"/>
      <c r="Q544" s="21"/>
      <c r="R544" s="21"/>
      <c r="S544" s="21"/>
      <c r="T544" s="21"/>
    </row>
    <row r="545" ht="30" customHeight="1">
      <c r="A545" t="s" s="15">
        <v>2135</v>
      </c>
      <c r="B545" s="16">
        <v>2018</v>
      </c>
      <c r="C545" t="s" s="15">
        <v>2136</v>
      </c>
      <c r="D545" t="s" s="17">
        <v>2137</v>
      </c>
      <c r="E545" t="s" s="17">
        <v>2138</v>
      </c>
      <c r="F545" s="18"/>
      <c r="G545" s="19">
        <v>2</v>
      </c>
      <c r="H545" t="s" s="20">
        <v>25</v>
      </c>
      <c r="I545" t="s" s="17">
        <v>26</v>
      </c>
      <c r="J545" t="s" s="17">
        <v>848</v>
      </c>
      <c r="K545" s="18"/>
      <c r="L545" s="18"/>
      <c r="M545" s="18"/>
      <c r="N545" s="18"/>
      <c r="O545" s="21"/>
      <c r="P545" s="21"/>
      <c r="Q545" s="21"/>
      <c r="R545" s="21"/>
      <c r="S545" s="21"/>
      <c r="T545" s="21"/>
    </row>
    <row r="546" ht="26.55" customHeight="1">
      <c r="A546" t="s" s="15">
        <v>2139</v>
      </c>
      <c r="B546" s="16">
        <v>2012</v>
      </c>
      <c r="C546" t="s" s="15">
        <v>2140</v>
      </c>
      <c r="D546" t="s" s="17">
        <v>2141</v>
      </c>
      <c r="E546" t="s" s="17">
        <v>2142</v>
      </c>
      <c r="F546" s="18"/>
      <c r="G546" s="19">
        <v>2</v>
      </c>
      <c r="H546" t="s" s="20">
        <v>25</v>
      </c>
      <c r="I546" t="s" s="17">
        <v>26</v>
      </c>
      <c r="J546" t="s" s="17">
        <v>31</v>
      </c>
      <c r="K546" s="18"/>
      <c r="L546" s="18"/>
      <c r="M546" s="18"/>
      <c r="N546" s="18"/>
      <c r="O546" s="21"/>
      <c r="P546" s="21"/>
      <c r="Q546" s="21"/>
      <c r="R546" s="21"/>
      <c r="S546" s="21"/>
      <c r="T546" s="21"/>
    </row>
    <row r="547" ht="26.55" customHeight="1">
      <c r="A547" t="s" s="15">
        <v>2143</v>
      </c>
      <c r="B547" s="16">
        <v>2010</v>
      </c>
      <c r="C547" t="s" s="15">
        <v>2144</v>
      </c>
      <c r="D547" t="s" s="17">
        <v>2145</v>
      </c>
      <c r="E547" t="s" s="17">
        <v>2146</v>
      </c>
      <c r="F547" s="18"/>
      <c r="G547" s="19">
        <v>3</v>
      </c>
      <c r="H547" t="s" s="20">
        <v>46</v>
      </c>
      <c r="I547" t="s" s="17">
        <v>26</v>
      </c>
      <c r="J547" t="s" s="17">
        <v>131</v>
      </c>
      <c r="K547" s="18"/>
      <c r="L547" s="18"/>
      <c r="M547" s="18"/>
      <c r="N547" s="18"/>
      <c r="O547" s="21"/>
      <c r="P547" s="21"/>
      <c r="Q547" s="21"/>
      <c r="R547" s="21"/>
      <c r="S547" s="21"/>
      <c r="T547" s="21"/>
    </row>
    <row r="548" ht="30" customHeight="1">
      <c r="A548" t="s" s="15">
        <v>2147</v>
      </c>
      <c r="B548" s="16">
        <v>2015</v>
      </c>
      <c r="C548" t="s" s="15">
        <v>2148</v>
      </c>
      <c r="D548" t="s" s="17">
        <v>2149</v>
      </c>
      <c r="E548" t="s" s="17">
        <v>2150</v>
      </c>
      <c r="F548" s="18"/>
      <c r="G548" s="19">
        <v>2</v>
      </c>
      <c r="H548" t="s" s="20">
        <v>25</v>
      </c>
      <c r="I548" t="s" s="17">
        <v>26</v>
      </c>
      <c r="J548" t="s" s="17">
        <v>102</v>
      </c>
      <c r="K548" s="18"/>
      <c r="L548" s="18"/>
      <c r="M548" s="18"/>
      <c r="N548" s="18"/>
      <c r="O548" s="21"/>
      <c r="P548" s="21"/>
      <c r="Q548" s="21"/>
      <c r="R548" s="21"/>
      <c r="S548" s="21"/>
      <c r="T548" s="21"/>
    </row>
    <row r="549" ht="30" customHeight="1">
      <c r="A549" t="s" s="15">
        <v>2151</v>
      </c>
      <c r="B549" s="16">
        <v>2017</v>
      </c>
      <c r="C549" t="s" s="15">
        <v>2152</v>
      </c>
      <c r="D549" t="s" s="17">
        <v>2153</v>
      </c>
      <c r="E549" t="s" s="17">
        <v>2154</v>
      </c>
      <c r="F549" s="18"/>
      <c r="G549" s="19">
        <v>2</v>
      </c>
      <c r="H549" t="s" s="20">
        <v>25</v>
      </c>
      <c r="I549" t="s" s="17">
        <v>26</v>
      </c>
      <c r="J549" t="s" s="17">
        <v>27</v>
      </c>
      <c r="K549" s="18"/>
      <c r="L549" s="18"/>
      <c r="M549" s="18"/>
      <c r="N549" s="18"/>
      <c r="O549" s="21"/>
      <c r="P549" s="21"/>
      <c r="Q549" s="21"/>
      <c r="R549" s="21"/>
      <c r="S549" s="21"/>
      <c r="T549" s="21"/>
    </row>
    <row r="550" ht="30" customHeight="1">
      <c r="A550" t="s" s="15">
        <v>2155</v>
      </c>
      <c r="B550" s="16">
        <v>2007</v>
      </c>
      <c r="C550" t="s" s="15">
        <v>2156</v>
      </c>
      <c r="D550" t="s" s="17">
        <v>2157</v>
      </c>
      <c r="E550" t="s" s="17">
        <v>2158</v>
      </c>
      <c r="F550" s="18"/>
      <c r="G550" s="19">
        <v>3</v>
      </c>
      <c r="H550" t="s" s="20">
        <v>46</v>
      </c>
      <c r="I550" t="s" s="17">
        <v>26</v>
      </c>
      <c r="J550" t="s" s="17">
        <v>31</v>
      </c>
      <c r="K550" s="18"/>
      <c r="L550" s="18"/>
      <c r="M550" s="18"/>
      <c r="N550" s="18"/>
      <c r="O550" s="21"/>
      <c r="P550" s="21"/>
      <c r="Q550" s="21"/>
      <c r="R550" s="21"/>
      <c r="S550" s="21"/>
      <c r="T550" s="21"/>
    </row>
    <row r="551" ht="39.55" customHeight="1">
      <c r="A551" t="s" s="15">
        <v>2159</v>
      </c>
      <c r="B551" s="16">
        <v>2007</v>
      </c>
      <c r="C551" t="s" s="15">
        <v>2156</v>
      </c>
      <c r="D551" t="s" s="17">
        <v>2157</v>
      </c>
      <c r="E551" t="s" s="17">
        <v>2160</v>
      </c>
      <c r="F551" s="18"/>
      <c r="G551" s="19">
        <v>2</v>
      </c>
      <c r="H551" t="s" s="20">
        <v>25</v>
      </c>
      <c r="I551" t="s" s="17">
        <v>26</v>
      </c>
      <c r="J551" t="s" s="17">
        <v>391</v>
      </c>
      <c r="K551" s="18"/>
      <c r="L551" s="18"/>
      <c r="M551" s="18"/>
      <c r="N551" s="18"/>
      <c r="O551" s="21"/>
      <c r="P551" s="21"/>
      <c r="Q551" s="21"/>
      <c r="R551" s="21"/>
      <c r="S551" s="21"/>
      <c r="T551" s="21"/>
    </row>
    <row r="552" ht="30" customHeight="1">
      <c r="A552" t="s" s="15">
        <v>2161</v>
      </c>
      <c r="B552" s="16">
        <v>2007</v>
      </c>
      <c r="C552" t="s" s="15">
        <v>2156</v>
      </c>
      <c r="D552" t="s" s="17">
        <v>2157</v>
      </c>
      <c r="E552" t="s" s="17">
        <v>2162</v>
      </c>
      <c r="F552" s="18"/>
      <c r="G552" s="19">
        <v>2</v>
      </c>
      <c r="H552" t="s" s="20">
        <v>25</v>
      </c>
      <c r="I552" t="s" s="17">
        <v>26</v>
      </c>
      <c r="J552" t="s" s="17">
        <v>1071</v>
      </c>
      <c r="K552" s="18"/>
      <c r="L552" s="18"/>
      <c r="M552" s="18"/>
      <c r="N552" s="18"/>
      <c r="O552" s="21"/>
      <c r="P552" s="21"/>
      <c r="Q552" s="21"/>
      <c r="R552" s="21"/>
      <c r="S552" s="21"/>
      <c r="T552" s="21"/>
    </row>
    <row r="553" ht="30" customHeight="1">
      <c r="A553" t="s" s="15">
        <v>2163</v>
      </c>
      <c r="B553" s="16">
        <v>2008</v>
      </c>
      <c r="C553" t="s" s="15">
        <v>2156</v>
      </c>
      <c r="D553" t="s" s="17">
        <v>2164</v>
      </c>
      <c r="E553" t="s" s="17">
        <v>2165</v>
      </c>
      <c r="F553" s="18"/>
      <c r="G553" s="19">
        <v>2</v>
      </c>
      <c r="H553" t="s" s="20">
        <v>25</v>
      </c>
      <c r="I553" t="s" s="17">
        <v>26</v>
      </c>
      <c r="J553" t="s" s="17">
        <v>27</v>
      </c>
      <c r="K553" s="18"/>
      <c r="L553" s="18"/>
      <c r="M553" s="18"/>
      <c r="N553" s="18"/>
      <c r="O553" s="21"/>
      <c r="P553" s="21"/>
      <c r="Q553" s="21"/>
      <c r="R553" s="21"/>
      <c r="S553" s="21"/>
      <c r="T553" s="21"/>
    </row>
    <row r="554" ht="30" customHeight="1">
      <c r="A554" t="s" s="15">
        <v>2166</v>
      </c>
      <c r="B554" s="16">
        <v>2009</v>
      </c>
      <c r="C554" t="s" s="15">
        <v>2156</v>
      </c>
      <c r="D554" t="s" s="17">
        <v>2167</v>
      </c>
      <c r="E554" t="s" s="17">
        <v>2168</v>
      </c>
      <c r="F554" s="18"/>
      <c r="G554" s="19">
        <v>2</v>
      </c>
      <c r="H554" t="s" s="20">
        <v>25</v>
      </c>
      <c r="I554" t="s" s="17">
        <v>26</v>
      </c>
      <c r="J554" t="s" s="17">
        <v>2169</v>
      </c>
      <c r="K554" s="18"/>
      <c r="L554" s="18"/>
      <c r="M554" s="18"/>
      <c r="N554" s="18"/>
      <c r="O554" s="21"/>
      <c r="P554" s="21"/>
      <c r="Q554" s="21"/>
      <c r="R554" s="21"/>
      <c r="S554" s="21"/>
      <c r="T554" s="21"/>
    </row>
    <row r="555" ht="30" customHeight="1">
      <c r="A555" t="s" s="15">
        <v>2170</v>
      </c>
      <c r="B555" s="16">
        <v>2010</v>
      </c>
      <c r="C555" t="s" s="15">
        <v>2156</v>
      </c>
      <c r="D555" t="s" s="17">
        <v>2171</v>
      </c>
      <c r="E555" t="s" s="17">
        <v>2172</v>
      </c>
      <c r="F555" s="18"/>
      <c r="G555" s="19">
        <v>2</v>
      </c>
      <c r="H555" t="s" s="20">
        <v>25</v>
      </c>
      <c r="I555" t="s" s="17">
        <v>26</v>
      </c>
      <c r="J555" t="s" s="17">
        <v>391</v>
      </c>
      <c r="K555" s="18"/>
      <c r="L555" s="18"/>
      <c r="M555" s="18"/>
      <c r="N555" s="18"/>
      <c r="O555" s="21"/>
      <c r="P555" s="21"/>
      <c r="Q555" s="21"/>
      <c r="R555" s="21"/>
      <c r="S555" s="21"/>
      <c r="T555" s="21"/>
    </row>
    <row r="556" ht="30" customHeight="1">
      <c r="A556" t="s" s="15">
        <v>2173</v>
      </c>
      <c r="B556" s="16">
        <v>2011</v>
      </c>
      <c r="C556" t="s" s="15">
        <v>2156</v>
      </c>
      <c r="D556" t="s" s="17">
        <v>2174</v>
      </c>
      <c r="E556" t="s" s="17">
        <v>2175</v>
      </c>
      <c r="F556" s="18"/>
      <c r="G556" s="19">
        <v>2</v>
      </c>
      <c r="H556" t="s" s="20">
        <v>25</v>
      </c>
      <c r="I556" t="s" s="17">
        <v>26</v>
      </c>
      <c r="J556" t="s" s="17">
        <v>187</v>
      </c>
      <c r="K556" s="18"/>
      <c r="L556" s="18"/>
      <c r="M556" s="18"/>
      <c r="N556" s="18"/>
      <c r="O556" s="21"/>
      <c r="P556" s="21"/>
      <c r="Q556" s="21"/>
      <c r="R556" s="21"/>
      <c r="S556" s="21"/>
      <c r="T556" s="21"/>
    </row>
    <row r="557" ht="45" customHeight="1">
      <c r="A557" t="s" s="15">
        <v>2176</v>
      </c>
      <c r="B557" s="16">
        <v>2012</v>
      </c>
      <c r="C557" t="s" s="15">
        <v>2156</v>
      </c>
      <c r="D557" t="s" s="17">
        <v>2177</v>
      </c>
      <c r="E557" t="s" s="17">
        <v>2178</v>
      </c>
      <c r="F557" s="18"/>
      <c r="G557" s="19">
        <v>3</v>
      </c>
      <c r="H557" t="s" s="20">
        <v>46</v>
      </c>
      <c r="I557" t="s" s="17">
        <v>2179</v>
      </c>
      <c r="J557" t="s" s="17">
        <v>93</v>
      </c>
      <c r="K557" s="18"/>
      <c r="L557" s="18"/>
      <c r="M557" s="18"/>
      <c r="N557" s="18"/>
      <c r="O557" s="21"/>
      <c r="P557" s="21"/>
      <c r="Q557" s="21"/>
      <c r="R557" s="21"/>
      <c r="S557" s="21"/>
      <c r="T557" s="21"/>
    </row>
    <row r="558" ht="30" customHeight="1">
      <c r="A558" t="s" s="15">
        <v>2180</v>
      </c>
      <c r="B558" s="16">
        <v>2013</v>
      </c>
      <c r="C558" t="s" s="15">
        <v>2156</v>
      </c>
      <c r="D558" t="s" s="17">
        <v>2181</v>
      </c>
      <c r="E558" t="s" s="17">
        <v>2182</v>
      </c>
      <c r="F558" s="18"/>
      <c r="G558" s="19">
        <v>3</v>
      </c>
      <c r="H558" t="s" s="20">
        <v>46</v>
      </c>
      <c r="I558" t="s" s="17">
        <v>26</v>
      </c>
      <c r="J558" t="s" s="17">
        <v>31</v>
      </c>
      <c r="K558" s="18"/>
      <c r="L558" s="18"/>
      <c r="M558" s="18"/>
      <c r="N558" s="18"/>
      <c r="O558" s="21"/>
      <c r="P558" s="21"/>
      <c r="Q558" s="21"/>
      <c r="R558" s="21"/>
      <c r="S558" s="21"/>
      <c r="T558" s="21"/>
    </row>
    <row r="559" ht="30" customHeight="1">
      <c r="A559" t="s" s="15">
        <v>2183</v>
      </c>
      <c r="B559" s="16">
        <v>2014</v>
      </c>
      <c r="C559" t="s" s="15">
        <v>2156</v>
      </c>
      <c r="D559" t="s" s="17">
        <v>2184</v>
      </c>
      <c r="E559" t="s" s="17">
        <v>2185</v>
      </c>
      <c r="F559" s="18"/>
      <c r="G559" s="19">
        <v>2</v>
      </c>
      <c r="H559" t="s" s="20">
        <v>25</v>
      </c>
      <c r="I559" t="s" s="17">
        <v>26</v>
      </c>
      <c r="J559" t="s" s="17">
        <v>1071</v>
      </c>
      <c r="K559" t="s" s="17">
        <v>2186</v>
      </c>
      <c r="L559" s="18"/>
      <c r="M559" s="18"/>
      <c r="N559" s="18"/>
      <c r="O559" s="21"/>
      <c r="P559" s="21"/>
      <c r="Q559" s="21"/>
      <c r="R559" s="21"/>
      <c r="S559" s="21"/>
      <c r="T559" s="21"/>
    </row>
    <row r="560" ht="30" customHeight="1">
      <c r="A560" t="s" s="15">
        <v>2187</v>
      </c>
      <c r="B560" s="16">
        <v>2015</v>
      </c>
      <c r="C560" t="s" s="15">
        <v>2156</v>
      </c>
      <c r="D560" t="s" s="17">
        <v>2188</v>
      </c>
      <c r="E560" t="s" s="17">
        <v>2189</v>
      </c>
      <c r="F560" s="18"/>
      <c r="G560" s="19">
        <v>3</v>
      </c>
      <c r="H560" t="s" s="20">
        <v>46</v>
      </c>
      <c r="I560" t="s" s="17">
        <v>26</v>
      </c>
      <c r="J560" t="s" s="17">
        <v>93</v>
      </c>
      <c r="K560" s="18"/>
      <c r="L560" s="18"/>
      <c r="M560" s="18"/>
      <c r="N560" s="18"/>
      <c r="O560" s="21"/>
      <c r="P560" s="21"/>
      <c r="Q560" s="21"/>
      <c r="R560" s="21"/>
      <c r="S560" s="21"/>
      <c r="T560" s="21"/>
    </row>
    <row r="561" ht="30" customHeight="1">
      <c r="A561" t="s" s="15">
        <v>2190</v>
      </c>
      <c r="B561" s="16">
        <v>2016</v>
      </c>
      <c r="C561" t="s" s="15">
        <v>2156</v>
      </c>
      <c r="D561" t="s" s="17">
        <v>2191</v>
      </c>
      <c r="E561" t="s" s="17">
        <v>2192</v>
      </c>
      <c r="F561" s="18"/>
      <c r="G561" s="19">
        <v>3</v>
      </c>
      <c r="H561" t="s" s="20">
        <v>46</v>
      </c>
      <c r="I561" t="s" s="17">
        <v>26</v>
      </c>
      <c r="J561" t="s" s="17">
        <v>27</v>
      </c>
      <c r="K561" s="18"/>
      <c r="L561" s="18"/>
      <c r="M561" s="18"/>
      <c r="N561" s="18"/>
      <c r="O561" s="21"/>
      <c r="P561" s="21"/>
      <c r="Q561" s="21"/>
      <c r="R561" s="21"/>
      <c r="S561" s="21"/>
      <c r="T561" s="21"/>
    </row>
    <row r="562" ht="30" customHeight="1">
      <c r="A562" t="s" s="15">
        <v>2193</v>
      </c>
      <c r="B562" s="16">
        <v>2016</v>
      </c>
      <c r="C562" t="s" s="15">
        <v>2156</v>
      </c>
      <c r="D562" t="s" s="17">
        <v>2191</v>
      </c>
      <c r="E562" t="s" s="17">
        <v>2194</v>
      </c>
      <c r="F562" s="18"/>
      <c r="G562" s="19">
        <v>3</v>
      </c>
      <c r="H562" t="s" s="20">
        <v>46</v>
      </c>
      <c r="I562" t="s" s="17">
        <v>26</v>
      </c>
      <c r="J562" t="s" s="17">
        <v>93</v>
      </c>
      <c r="K562" s="18"/>
      <c r="L562" s="18"/>
      <c r="M562" s="18"/>
      <c r="N562" s="18"/>
      <c r="O562" s="21"/>
      <c r="P562" s="21"/>
      <c r="Q562" s="21"/>
      <c r="R562" s="21"/>
      <c r="S562" s="21"/>
      <c r="T562" s="21"/>
    </row>
    <row r="563" ht="30" customHeight="1">
      <c r="A563" t="s" s="15">
        <v>2195</v>
      </c>
      <c r="B563" s="16">
        <v>2016</v>
      </c>
      <c r="C563" t="s" s="15">
        <v>2156</v>
      </c>
      <c r="D563" t="s" s="17">
        <v>2191</v>
      </c>
      <c r="E563" t="s" s="17">
        <v>2196</v>
      </c>
      <c r="F563" s="18"/>
      <c r="G563" s="19">
        <v>3</v>
      </c>
      <c r="H563" t="s" s="20">
        <v>46</v>
      </c>
      <c r="I563" t="s" s="17">
        <v>26</v>
      </c>
      <c r="J563" t="s" s="17">
        <v>93</v>
      </c>
      <c r="K563" s="18"/>
      <c r="L563" s="18"/>
      <c r="M563" s="18"/>
      <c r="N563" s="18"/>
      <c r="O563" s="21"/>
      <c r="P563" s="21"/>
      <c r="Q563" s="21"/>
      <c r="R563" s="21"/>
      <c r="S563" s="21"/>
      <c r="T563" s="21"/>
    </row>
    <row r="564" ht="30" customHeight="1">
      <c r="A564" t="s" s="15">
        <v>2197</v>
      </c>
      <c r="B564" s="16">
        <v>2019</v>
      </c>
      <c r="C564" t="s" s="15">
        <v>2156</v>
      </c>
      <c r="D564" t="s" s="17">
        <v>2198</v>
      </c>
      <c r="E564" t="s" s="17">
        <v>2199</v>
      </c>
      <c r="F564" s="18"/>
      <c r="G564" s="19">
        <v>2</v>
      </c>
      <c r="H564" t="s" s="20">
        <v>25</v>
      </c>
      <c r="I564" t="s" s="17">
        <v>26</v>
      </c>
      <c r="J564" t="s" s="17">
        <v>187</v>
      </c>
      <c r="K564" s="18"/>
      <c r="L564" s="18"/>
      <c r="M564" s="18"/>
      <c r="N564" s="18"/>
      <c r="O564" s="21"/>
      <c r="P564" s="21"/>
      <c r="Q564" s="21"/>
      <c r="R564" s="21"/>
      <c r="S564" s="21"/>
      <c r="T564" s="21"/>
    </row>
    <row r="565" ht="30" customHeight="1">
      <c r="A565" t="s" s="15">
        <v>2200</v>
      </c>
      <c r="B565" s="16">
        <v>2019</v>
      </c>
      <c r="C565" t="s" s="15">
        <v>2156</v>
      </c>
      <c r="D565" t="s" s="17">
        <v>2198</v>
      </c>
      <c r="E565" t="s" s="17">
        <v>2201</v>
      </c>
      <c r="F565" s="18"/>
      <c r="G565" s="19">
        <v>3</v>
      </c>
      <c r="H565" t="s" s="20">
        <v>46</v>
      </c>
      <c r="I565" t="s" s="17">
        <v>26</v>
      </c>
      <c r="J565" t="s" s="17">
        <v>31</v>
      </c>
      <c r="K565" s="18"/>
      <c r="L565" s="18"/>
      <c r="M565" s="18"/>
      <c r="N565" s="18"/>
      <c r="O565" s="21"/>
      <c r="P565" s="21"/>
      <c r="Q565" s="21"/>
      <c r="R565" s="21"/>
      <c r="S565" s="21"/>
      <c r="T565" s="21"/>
    </row>
    <row r="566" ht="30" customHeight="1">
      <c r="A566" t="s" s="15">
        <v>2202</v>
      </c>
      <c r="B566" s="16">
        <v>2007</v>
      </c>
      <c r="C566" t="s" s="15">
        <v>2203</v>
      </c>
      <c r="D566" t="s" s="17">
        <v>2204</v>
      </c>
      <c r="E566" t="s" s="17">
        <v>2205</v>
      </c>
      <c r="F566" s="18"/>
      <c r="G566" s="19">
        <v>2</v>
      </c>
      <c r="H566" t="s" s="20">
        <v>25</v>
      </c>
      <c r="I566" t="s" s="17">
        <v>26</v>
      </c>
      <c r="J566" t="s" s="17">
        <v>2206</v>
      </c>
      <c r="K566" s="18"/>
      <c r="L566" s="18"/>
      <c r="M566" s="18"/>
      <c r="N566" s="18"/>
      <c r="O566" s="21"/>
      <c r="P566" s="21"/>
      <c r="Q566" s="21"/>
      <c r="R566" s="21"/>
      <c r="S566" s="21"/>
      <c r="T566" s="21"/>
    </row>
    <row r="567" ht="30" customHeight="1">
      <c r="A567" t="s" s="15">
        <v>2207</v>
      </c>
      <c r="B567" s="16">
        <v>2021</v>
      </c>
      <c r="C567" t="s" s="15">
        <v>2203</v>
      </c>
      <c r="D567" t="s" s="17">
        <v>2208</v>
      </c>
      <c r="E567" t="s" s="17">
        <v>2209</v>
      </c>
      <c r="F567" s="18"/>
      <c r="G567" s="19">
        <v>3</v>
      </c>
      <c r="H567" t="s" s="20">
        <v>46</v>
      </c>
      <c r="I567" t="s" s="17">
        <v>42</v>
      </c>
      <c r="J567" s="18"/>
      <c r="K567" t="s" s="17">
        <v>43</v>
      </c>
      <c r="L567" t="s" s="17">
        <v>26</v>
      </c>
      <c r="M567" s="18"/>
      <c r="N567" t="s" s="17">
        <v>391</v>
      </c>
      <c r="O567" t="s" s="20">
        <v>2210</v>
      </c>
      <c r="P567" s="21"/>
      <c r="Q567" s="21"/>
      <c r="R567" s="21"/>
      <c r="S567" s="21"/>
      <c r="T567" s="21"/>
    </row>
    <row r="568" ht="30" customHeight="1">
      <c r="A568" t="s" s="15">
        <v>2211</v>
      </c>
      <c r="B568" s="16">
        <v>2018</v>
      </c>
      <c r="C568" t="s" s="15">
        <v>2212</v>
      </c>
      <c r="D568" t="s" s="17">
        <v>2213</v>
      </c>
      <c r="E568" t="s" s="17">
        <v>2214</v>
      </c>
      <c r="F568" s="18"/>
      <c r="G568" s="19">
        <v>2</v>
      </c>
      <c r="H568" t="s" s="20">
        <v>25</v>
      </c>
      <c r="I568" t="s" s="17">
        <v>26</v>
      </c>
      <c r="J568" t="s" s="17">
        <v>391</v>
      </c>
      <c r="K568" s="18"/>
      <c r="L568" s="18"/>
      <c r="M568" s="18"/>
      <c r="N568" s="18"/>
      <c r="O568" s="21"/>
      <c r="P568" s="21"/>
      <c r="Q568" s="21"/>
      <c r="R568" s="21"/>
      <c r="S568" s="21"/>
      <c r="T568" s="21"/>
    </row>
    <row r="569" ht="30" customHeight="1">
      <c r="A569" t="s" s="15">
        <v>2215</v>
      </c>
      <c r="B569" s="16">
        <v>2013</v>
      </c>
      <c r="C569" t="s" s="15">
        <v>2216</v>
      </c>
      <c r="D569" t="s" s="17">
        <v>2217</v>
      </c>
      <c r="E569" t="s" s="17">
        <v>2218</v>
      </c>
      <c r="F569" s="18"/>
      <c r="G569" s="19">
        <v>2</v>
      </c>
      <c r="H569" t="s" s="20">
        <v>25</v>
      </c>
      <c r="I569" t="s" s="17">
        <v>26</v>
      </c>
      <c r="J569" t="s" s="17">
        <v>1090</v>
      </c>
      <c r="K569" s="18"/>
      <c r="L569" s="18"/>
      <c r="M569" s="18"/>
      <c r="N569" s="18"/>
      <c r="O569" s="21"/>
      <c r="P569" s="21"/>
      <c r="Q569" s="21"/>
      <c r="R569" s="21"/>
      <c r="S569" s="21"/>
      <c r="T569" s="21"/>
    </row>
    <row r="570" ht="30" customHeight="1">
      <c r="A570" t="s" s="15">
        <v>2219</v>
      </c>
      <c r="B570" s="16">
        <v>2019</v>
      </c>
      <c r="C570" t="s" s="15">
        <v>2216</v>
      </c>
      <c r="D570" t="s" s="17">
        <v>2220</v>
      </c>
      <c r="E570" t="s" s="17">
        <v>2221</v>
      </c>
      <c r="F570" s="18"/>
      <c r="G570" s="19">
        <v>2</v>
      </c>
      <c r="H570" t="s" s="20">
        <v>25</v>
      </c>
      <c r="I570" t="s" s="17">
        <v>26</v>
      </c>
      <c r="J570" t="s" s="17">
        <v>2222</v>
      </c>
      <c r="K570" s="18"/>
      <c r="L570" s="18"/>
      <c r="M570" s="18"/>
      <c r="N570" s="18"/>
      <c r="O570" s="21"/>
      <c r="P570" s="21"/>
      <c r="Q570" s="21"/>
      <c r="R570" s="21"/>
      <c r="S570" s="21"/>
      <c r="T570" s="21"/>
    </row>
    <row r="571" ht="30" customHeight="1">
      <c r="A571" t="s" s="15">
        <v>2223</v>
      </c>
      <c r="B571" s="16">
        <v>2022</v>
      </c>
      <c r="C571" t="s" s="15">
        <v>2224</v>
      </c>
      <c r="D571" t="s" s="17">
        <v>2225</v>
      </c>
      <c r="E571" t="s" s="17">
        <v>2226</v>
      </c>
      <c r="F571" s="18"/>
      <c r="G571" s="19">
        <v>2</v>
      </c>
      <c r="H571" t="s" s="20">
        <v>25</v>
      </c>
      <c r="I571" t="s" s="17">
        <v>26</v>
      </c>
      <c r="J571" t="s" s="17">
        <v>391</v>
      </c>
      <c r="K571" s="18"/>
      <c r="L571" s="18"/>
      <c r="M571" s="18"/>
      <c r="N571" s="18"/>
      <c r="O571" s="21"/>
      <c r="P571" s="21"/>
      <c r="Q571" s="21"/>
      <c r="R571" s="21"/>
      <c r="S571" s="21"/>
      <c r="T571" s="21"/>
    </row>
    <row r="572" ht="30" customHeight="1">
      <c r="A572" t="s" s="15">
        <v>2227</v>
      </c>
      <c r="B572" s="16">
        <v>2011</v>
      </c>
      <c r="C572" t="s" s="15">
        <v>2228</v>
      </c>
      <c r="D572" t="s" s="17">
        <v>2229</v>
      </c>
      <c r="E572" t="s" s="17">
        <v>2230</v>
      </c>
      <c r="F572" s="18"/>
      <c r="G572" s="19">
        <v>2</v>
      </c>
      <c r="H572" t="s" s="20">
        <v>25</v>
      </c>
      <c r="I572" t="s" s="17">
        <v>42</v>
      </c>
      <c r="J572" s="18"/>
      <c r="K572" t="s" s="17">
        <v>43</v>
      </c>
      <c r="L572" t="s" s="17">
        <v>26</v>
      </c>
      <c r="M572" s="18"/>
      <c r="N572" t="s" s="17">
        <v>220</v>
      </c>
      <c r="O572" t="s" s="20">
        <v>2231</v>
      </c>
      <c r="P572" s="21"/>
      <c r="Q572" s="21"/>
      <c r="R572" s="21"/>
      <c r="S572" s="21"/>
      <c r="T572" s="21"/>
    </row>
    <row r="573" ht="13.55" customHeight="1">
      <c r="A573" t="s" s="15">
        <v>2232</v>
      </c>
      <c r="B573" s="16">
        <v>2016</v>
      </c>
      <c r="C573" t="s" s="15">
        <v>2233</v>
      </c>
      <c r="D573" t="s" s="17">
        <v>2234</v>
      </c>
      <c r="E573" t="s" s="17">
        <v>2235</v>
      </c>
      <c r="F573" s="18"/>
      <c r="G573" s="19">
        <v>2</v>
      </c>
      <c r="H573" t="s" s="20">
        <v>25</v>
      </c>
      <c r="I573" t="s" s="17">
        <v>26</v>
      </c>
      <c r="J573" t="s" s="17">
        <v>1090</v>
      </c>
      <c r="K573" s="18"/>
      <c r="L573" s="18"/>
      <c r="M573" s="18"/>
      <c r="N573" s="18"/>
      <c r="O573" s="21"/>
      <c r="P573" s="21"/>
      <c r="Q573" s="21"/>
      <c r="R573" s="21"/>
      <c r="S573" s="21"/>
      <c r="T573" s="21"/>
    </row>
    <row r="574" ht="26.55" customHeight="1">
      <c r="A574" t="s" s="15">
        <v>2236</v>
      </c>
      <c r="B574" s="16">
        <v>2010</v>
      </c>
      <c r="C574" t="s" s="15">
        <v>2237</v>
      </c>
      <c r="D574" t="s" s="17">
        <v>2238</v>
      </c>
      <c r="E574" s="18"/>
      <c r="F574" s="18"/>
      <c r="G574" s="19">
        <v>2</v>
      </c>
      <c r="H574" t="s" s="20">
        <v>25</v>
      </c>
      <c r="I574" t="s" s="17">
        <v>26</v>
      </c>
      <c r="J574" t="s" s="17">
        <v>391</v>
      </c>
      <c r="K574" s="18"/>
      <c r="L574" s="18"/>
      <c r="M574" s="18"/>
      <c r="N574" s="18"/>
      <c r="O574" s="21"/>
      <c r="P574" s="21"/>
      <c r="Q574" s="21"/>
      <c r="R574" s="21"/>
      <c r="S574" s="21"/>
      <c r="T574" s="21"/>
    </row>
    <row r="575" ht="30" customHeight="1">
      <c r="A575" t="s" s="15">
        <v>2239</v>
      </c>
      <c r="B575" s="16">
        <v>2015</v>
      </c>
      <c r="C575" t="s" s="15">
        <v>2240</v>
      </c>
      <c r="D575" t="s" s="17">
        <v>2241</v>
      </c>
      <c r="E575" t="s" s="17">
        <v>2242</v>
      </c>
      <c r="F575" s="18"/>
      <c r="G575" s="19">
        <v>2</v>
      </c>
      <c r="H575" t="s" s="20">
        <v>25</v>
      </c>
      <c r="I575" t="s" s="17">
        <v>26</v>
      </c>
      <c r="J575" t="s" s="17">
        <v>391</v>
      </c>
      <c r="K575" s="18"/>
      <c r="L575" s="18"/>
      <c r="M575" s="18"/>
      <c r="N575" s="18"/>
      <c r="O575" s="21"/>
      <c r="P575" s="21"/>
      <c r="Q575" s="21"/>
      <c r="R575" s="21"/>
      <c r="S575" s="21"/>
      <c r="T575" s="21"/>
    </row>
    <row r="576" ht="30" customHeight="1">
      <c r="A576" t="s" s="15">
        <v>2243</v>
      </c>
      <c r="B576" s="16">
        <v>2011</v>
      </c>
      <c r="C576" t="s" s="15">
        <v>2244</v>
      </c>
      <c r="D576" t="s" s="17">
        <v>2245</v>
      </c>
      <c r="E576" t="s" s="17">
        <v>2246</v>
      </c>
      <c r="F576" s="18"/>
      <c r="G576" s="19">
        <v>2</v>
      </c>
      <c r="H576" t="s" s="20">
        <v>25</v>
      </c>
      <c r="I576" t="s" s="17">
        <v>26</v>
      </c>
      <c r="J576" t="s" s="17">
        <v>391</v>
      </c>
      <c r="K576" s="18"/>
      <c r="L576" s="18"/>
      <c r="M576" s="18"/>
      <c r="N576" s="18"/>
      <c r="O576" s="21"/>
      <c r="P576" s="21"/>
      <c r="Q576" s="21"/>
      <c r="R576" s="21"/>
      <c r="S576" s="21"/>
      <c r="T576" s="21"/>
    </row>
    <row r="577" ht="30" customHeight="1">
      <c r="A577" t="s" s="15">
        <v>2247</v>
      </c>
      <c r="B577" s="16">
        <v>2012</v>
      </c>
      <c r="C577" t="s" s="15">
        <v>2244</v>
      </c>
      <c r="D577" t="s" s="17">
        <v>2248</v>
      </c>
      <c r="E577" t="s" s="17">
        <v>2249</v>
      </c>
      <c r="F577" s="18"/>
      <c r="G577" s="19">
        <v>2</v>
      </c>
      <c r="H577" t="s" s="20">
        <v>25</v>
      </c>
      <c r="I577" t="s" s="17">
        <v>26</v>
      </c>
      <c r="J577" t="s" s="17">
        <v>391</v>
      </c>
      <c r="K577" s="18"/>
      <c r="L577" s="18"/>
      <c r="M577" s="18"/>
      <c r="N577" s="18"/>
      <c r="O577" s="21"/>
      <c r="P577" s="21"/>
      <c r="Q577" s="21"/>
      <c r="R577" s="21"/>
      <c r="S577" s="21"/>
      <c r="T577" s="21"/>
    </row>
    <row r="578" ht="30" customHeight="1">
      <c r="A578" t="s" s="15">
        <v>2250</v>
      </c>
      <c r="B578" s="16">
        <v>2014</v>
      </c>
      <c r="C578" t="s" s="15">
        <v>2244</v>
      </c>
      <c r="D578" t="s" s="17">
        <v>2251</v>
      </c>
      <c r="E578" t="s" s="17">
        <v>2252</v>
      </c>
      <c r="F578" s="18"/>
      <c r="G578" s="19">
        <v>2</v>
      </c>
      <c r="H578" t="s" s="20">
        <v>25</v>
      </c>
      <c r="I578" t="s" s="17">
        <v>26</v>
      </c>
      <c r="J578" t="s" s="17">
        <v>391</v>
      </c>
      <c r="K578" s="18"/>
      <c r="L578" s="18"/>
      <c r="M578" s="18"/>
      <c r="N578" s="18"/>
      <c r="O578" s="21"/>
      <c r="P578" s="21"/>
      <c r="Q578" s="21"/>
      <c r="R578" s="21"/>
      <c r="S578" s="21"/>
      <c r="T578" s="21"/>
    </row>
    <row r="579" ht="39.55" customHeight="1">
      <c r="A579" t="s" s="15">
        <v>2253</v>
      </c>
      <c r="B579" s="16">
        <v>2022</v>
      </c>
      <c r="C579" t="s" s="15">
        <v>2254</v>
      </c>
      <c r="D579" t="s" s="17">
        <v>2255</v>
      </c>
      <c r="E579" t="s" s="17">
        <v>2256</v>
      </c>
      <c r="F579" s="18"/>
      <c r="G579" s="19">
        <v>3</v>
      </c>
      <c r="H579" t="s" s="20">
        <v>46</v>
      </c>
      <c r="I579" t="s" s="17">
        <v>26</v>
      </c>
      <c r="J579" t="s" s="17">
        <v>31</v>
      </c>
      <c r="K579" t="s" s="17">
        <v>2257</v>
      </c>
      <c r="L579" s="18"/>
      <c r="M579" s="18"/>
      <c r="N579" s="18"/>
      <c r="O579" s="21"/>
      <c r="P579" s="21"/>
      <c r="Q579" s="21"/>
      <c r="R579" s="21"/>
      <c r="S579" s="21"/>
      <c r="T579" s="21"/>
    </row>
    <row r="580" ht="30" customHeight="1">
      <c r="A580" t="s" s="15">
        <v>2258</v>
      </c>
      <c r="B580" s="16">
        <v>2016</v>
      </c>
      <c r="C580" t="s" s="15">
        <v>2259</v>
      </c>
      <c r="D580" t="s" s="17">
        <v>2260</v>
      </c>
      <c r="E580" t="s" s="17">
        <v>2261</v>
      </c>
      <c r="F580" s="18"/>
      <c r="G580" s="19">
        <v>2</v>
      </c>
      <c r="H580" t="s" s="20">
        <v>25</v>
      </c>
      <c r="I580" t="s" s="17">
        <v>26</v>
      </c>
      <c r="J580" t="s" s="17">
        <v>2070</v>
      </c>
      <c r="K580" s="18"/>
      <c r="L580" s="18"/>
      <c r="M580" s="18"/>
      <c r="N580" s="18"/>
      <c r="O580" s="21"/>
      <c r="P580" s="21"/>
      <c r="Q580" s="21"/>
      <c r="R580" s="21"/>
      <c r="S580" s="21"/>
      <c r="T580" s="21"/>
    </row>
    <row r="581" ht="26.55" customHeight="1">
      <c r="A581" t="s" s="15">
        <v>2262</v>
      </c>
      <c r="B581" s="16">
        <v>2005</v>
      </c>
      <c r="C581" t="s" s="15">
        <v>2263</v>
      </c>
      <c r="D581" t="s" s="17">
        <v>2264</v>
      </c>
      <c r="E581" t="s" s="17">
        <v>2265</v>
      </c>
      <c r="F581" s="18"/>
      <c r="G581" s="19">
        <v>2</v>
      </c>
      <c r="H581" t="s" s="20">
        <v>25</v>
      </c>
      <c r="I581" t="s" s="17">
        <v>26</v>
      </c>
      <c r="J581" t="s" s="17">
        <v>31</v>
      </c>
      <c r="K581" s="18"/>
      <c r="L581" s="18"/>
      <c r="M581" s="18"/>
      <c r="N581" s="18"/>
      <c r="O581" s="21"/>
      <c r="P581" s="21"/>
      <c r="Q581" s="21"/>
      <c r="R581" s="21"/>
      <c r="S581" s="21"/>
      <c r="T581" s="21"/>
    </row>
    <row r="582" ht="30" customHeight="1">
      <c r="A582" t="s" s="15">
        <v>2266</v>
      </c>
      <c r="B582" s="16">
        <v>2011</v>
      </c>
      <c r="C582" t="s" s="15">
        <v>2267</v>
      </c>
      <c r="D582" t="s" s="17">
        <v>2268</v>
      </c>
      <c r="E582" t="s" s="17">
        <v>2269</v>
      </c>
      <c r="F582" s="18"/>
      <c r="G582" s="19">
        <v>3</v>
      </c>
      <c r="H582" t="s" s="20">
        <v>46</v>
      </c>
      <c r="I582" t="s" s="17">
        <v>26</v>
      </c>
      <c r="J582" t="s" s="17">
        <v>31</v>
      </c>
      <c r="K582" s="18"/>
      <c r="L582" s="18"/>
      <c r="M582" s="18"/>
      <c r="N582" s="18"/>
      <c r="O582" s="21"/>
      <c r="P582" s="21"/>
      <c r="Q582" s="21"/>
      <c r="R582" s="21"/>
      <c r="S582" s="21"/>
      <c r="T582" s="21"/>
    </row>
    <row r="583" ht="30" customHeight="1">
      <c r="A583" t="s" s="15">
        <v>2270</v>
      </c>
      <c r="B583" s="16">
        <v>2014</v>
      </c>
      <c r="C583" t="s" s="15">
        <v>2267</v>
      </c>
      <c r="D583" t="s" s="17">
        <v>2271</v>
      </c>
      <c r="E583" t="s" s="17">
        <v>2272</v>
      </c>
      <c r="F583" s="18"/>
      <c r="G583" s="19">
        <v>3</v>
      </c>
      <c r="H583" t="s" s="20">
        <v>46</v>
      </c>
      <c r="I583" t="s" s="17">
        <v>26</v>
      </c>
      <c r="J583" t="s" s="17">
        <v>93</v>
      </c>
      <c r="K583" s="18"/>
      <c r="L583" s="18"/>
      <c r="M583" s="18"/>
      <c r="N583" s="18"/>
      <c r="O583" s="21"/>
      <c r="P583" s="21"/>
      <c r="Q583" s="21"/>
      <c r="R583" s="21"/>
      <c r="S583" s="21"/>
      <c r="T583" s="21"/>
    </row>
    <row r="584" ht="30" customHeight="1">
      <c r="A584" t="s" s="15">
        <v>2273</v>
      </c>
      <c r="B584" s="16">
        <v>2016</v>
      </c>
      <c r="C584" t="s" s="15">
        <v>2267</v>
      </c>
      <c r="D584" t="s" s="17">
        <v>2274</v>
      </c>
      <c r="E584" t="s" s="17">
        <v>2275</v>
      </c>
      <c r="F584" s="18"/>
      <c r="G584" s="19">
        <v>2</v>
      </c>
      <c r="H584" t="s" s="20">
        <v>25</v>
      </c>
      <c r="I584" t="s" s="17">
        <v>26</v>
      </c>
      <c r="J584" t="s" s="17">
        <v>391</v>
      </c>
      <c r="K584" s="18"/>
      <c r="L584" s="18"/>
      <c r="M584" s="18"/>
      <c r="N584" s="18"/>
      <c r="O584" s="21"/>
      <c r="P584" s="21"/>
      <c r="Q584" s="21"/>
      <c r="R584" s="21"/>
      <c r="S584" s="21"/>
      <c r="T584" s="21"/>
    </row>
    <row r="585" ht="30" customHeight="1">
      <c r="A585" t="s" s="15">
        <v>2276</v>
      </c>
      <c r="B585" s="16">
        <v>2018</v>
      </c>
      <c r="C585" t="s" s="15">
        <v>2267</v>
      </c>
      <c r="D585" t="s" s="17">
        <v>2277</v>
      </c>
      <c r="E585" t="s" s="17">
        <v>2278</v>
      </c>
      <c r="F585" s="18"/>
      <c r="G585" s="19">
        <v>2</v>
      </c>
      <c r="H585" t="s" s="20">
        <v>25</v>
      </c>
      <c r="I585" t="s" s="17">
        <v>42</v>
      </c>
      <c r="J585" s="18"/>
      <c r="K585" t="s" s="17">
        <v>43</v>
      </c>
      <c r="L585" t="s" s="17">
        <v>42</v>
      </c>
      <c r="M585" t="s" s="17">
        <v>44</v>
      </c>
      <c r="N585" s="18"/>
      <c r="O585" s="21"/>
      <c r="P585" t="s" s="20">
        <v>46</v>
      </c>
      <c r="Q585" t="s" s="20">
        <v>277</v>
      </c>
      <c r="R585" s="21"/>
      <c r="S585" t="s" s="20">
        <v>277</v>
      </c>
      <c r="T585" s="21"/>
    </row>
    <row r="586" ht="30" customHeight="1">
      <c r="A586" t="s" s="15">
        <v>2279</v>
      </c>
      <c r="B586" s="16">
        <v>2005</v>
      </c>
      <c r="C586" t="s" s="15">
        <v>2280</v>
      </c>
      <c r="D586" t="s" s="17">
        <v>2281</v>
      </c>
      <c r="E586" t="s" s="17">
        <v>2282</v>
      </c>
      <c r="F586" s="18"/>
      <c r="G586" s="19">
        <v>2</v>
      </c>
      <c r="H586" t="s" s="20">
        <v>25</v>
      </c>
      <c r="I586" t="s" s="17">
        <v>26</v>
      </c>
      <c r="J586" t="s" s="17">
        <v>1071</v>
      </c>
      <c r="K586" s="18"/>
      <c r="L586" s="18"/>
      <c r="M586" s="18"/>
      <c r="N586" s="18"/>
      <c r="O586" s="21"/>
      <c r="P586" s="21"/>
      <c r="Q586" s="21"/>
      <c r="R586" s="21"/>
      <c r="S586" s="21"/>
      <c r="T586" s="21"/>
    </row>
    <row r="587" ht="30" customHeight="1">
      <c r="A587" t="s" s="15">
        <v>2283</v>
      </c>
      <c r="B587" s="16">
        <v>2022</v>
      </c>
      <c r="C587" t="s" s="15">
        <v>2284</v>
      </c>
      <c r="D587" t="s" s="17">
        <v>2285</v>
      </c>
      <c r="E587" t="s" s="17">
        <v>2286</v>
      </c>
      <c r="F587" s="18"/>
      <c r="G587" s="19">
        <v>3</v>
      </c>
      <c r="H587" t="s" s="20">
        <v>46</v>
      </c>
      <c r="I587" t="s" s="17">
        <v>26</v>
      </c>
      <c r="J587" t="s" s="17">
        <v>93</v>
      </c>
      <c r="K587" t="s" s="17">
        <v>80</v>
      </c>
      <c r="L587" s="18"/>
      <c r="M587" s="18"/>
      <c r="N587" s="18"/>
      <c r="O587" s="21"/>
      <c r="P587" s="21"/>
      <c r="Q587" s="21"/>
      <c r="R587" s="21"/>
      <c r="S587" s="21"/>
      <c r="T587" s="21"/>
    </row>
    <row r="588" ht="30" customHeight="1">
      <c r="A588" t="s" s="15">
        <v>2287</v>
      </c>
      <c r="B588" s="16">
        <v>2022</v>
      </c>
      <c r="C588" t="s" s="15">
        <v>2284</v>
      </c>
      <c r="D588" t="s" s="17">
        <v>2285</v>
      </c>
      <c r="E588" t="s" s="17">
        <v>2288</v>
      </c>
      <c r="F588" s="18"/>
      <c r="G588" s="19">
        <v>3</v>
      </c>
      <c r="H588" t="s" s="20">
        <v>46</v>
      </c>
      <c r="I588" t="s" s="17">
        <v>26</v>
      </c>
      <c r="J588" t="s" s="17">
        <v>2206</v>
      </c>
      <c r="K588" s="18"/>
      <c r="L588" s="18"/>
      <c r="M588" s="18"/>
      <c r="N588" s="18"/>
      <c r="O588" s="21"/>
      <c r="P588" s="21"/>
      <c r="Q588" s="21"/>
      <c r="R588" s="21"/>
      <c r="S588" s="21"/>
      <c r="T588" s="21"/>
    </row>
    <row r="589" ht="30" customHeight="1">
      <c r="A589" t="s" s="15">
        <v>2289</v>
      </c>
      <c r="B589" s="16">
        <v>2020</v>
      </c>
      <c r="C589" t="s" s="15">
        <v>2290</v>
      </c>
      <c r="D589" t="s" s="17">
        <v>2291</v>
      </c>
      <c r="E589" t="s" s="17">
        <v>2292</v>
      </c>
      <c r="F589" s="18"/>
      <c r="G589" s="19">
        <v>2</v>
      </c>
      <c r="H589" t="s" s="20">
        <v>25</v>
      </c>
      <c r="I589" t="s" s="17">
        <v>26</v>
      </c>
      <c r="J589" t="s" s="17">
        <v>102</v>
      </c>
      <c r="K589" s="18"/>
      <c r="L589" s="18"/>
      <c r="M589" s="18"/>
      <c r="N589" s="18"/>
      <c r="O589" s="21"/>
      <c r="P589" s="21"/>
      <c r="Q589" s="21"/>
      <c r="R589" s="21"/>
      <c r="S589" s="21"/>
      <c r="T589" s="21"/>
    </row>
    <row r="590" ht="39.55" customHeight="1">
      <c r="A590" t="s" s="15">
        <v>2293</v>
      </c>
      <c r="B590" s="16">
        <v>2020</v>
      </c>
      <c r="C590" t="s" s="15">
        <v>2294</v>
      </c>
      <c r="D590" t="s" s="17">
        <v>2295</v>
      </c>
      <c r="E590" t="s" s="17">
        <v>2296</v>
      </c>
      <c r="F590" s="18"/>
      <c r="G590" s="19">
        <v>2</v>
      </c>
      <c r="H590" t="s" s="20">
        <v>25</v>
      </c>
      <c r="I590" t="s" s="17">
        <v>26</v>
      </c>
      <c r="J590" t="s" s="17">
        <v>31</v>
      </c>
      <c r="K590" s="18"/>
      <c r="L590" s="18"/>
      <c r="M590" s="18"/>
      <c r="N590" s="18"/>
      <c r="O590" s="21"/>
      <c r="P590" s="21"/>
      <c r="Q590" s="21"/>
      <c r="R590" s="21"/>
      <c r="S590" s="21"/>
      <c r="T590" s="21"/>
    </row>
    <row r="591" ht="30" customHeight="1">
      <c r="A591" t="s" s="15">
        <v>2297</v>
      </c>
      <c r="B591" s="16">
        <v>2018</v>
      </c>
      <c r="C591" t="s" s="15">
        <v>2298</v>
      </c>
      <c r="D591" t="s" s="17">
        <v>2299</v>
      </c>
      <c r="E591" t="s" s="17">
        <v>2300</v>
      </c>
      <c r="F591" s="18"/>
      <c r="G591" s="19">
        <v>2</v>
      </c>
      <c r="H591" t="s" s="20">
        <v>25</v>
      </c>
      <c r="I591" t="s" s="17">
        <v>26</v>
      </c>
      <c r="J591" t="s" s="17">
        <v>187</v>
      </c>
      <c r="K591" s="18"/>
      <c r="L591" s="18"/>
      <c r="M591" s="18"/>
      <c r="N591" s="18"/>
      <c r="O591" s="21"/>
      <c r="P591" s="21"/>
      <c r="Q591" s="21"/>
      <c r="R591" s="21"/>
      <c r="S591" s="21"/>
      <c r="T591" s="21"/>
    </row>
    <row r="592" ht="30" customHeight="1">
      <c r="A592" t="s" s="15">
        <v>2301</v>
      </c>
      <c r="B592" s="16">
        <v>2022</v>
      </c>
      <c r="C592" t="s" s="15">
        <v>2302</v>
      </c>
      <c r="D592" t="s" s="17">
        <v>2303</v>
      </c>
      <c r="E592" t="s" s="17">
        <v>2304</v>
      </c>
      <c r="F592" s="18"/>
      <c r="G592" s="19">
        <v>2</v>
      </c>
      <c r="H592" t="s" s="20">
        <v>25</v>
      </c>
      <c r="I592" t="s" s="17">
        <v>26</v>
      </c>
      <c r="J592" t="s" s="17">
        <v>93</v>
      </c>
      <c r="K592" s="18"/>
      <c r="L592" s="18"/>
      <c r="M592" s="18"/>
      <c r="N592" s="18"/>
      <c r="O592" s="21"/>
      <c r="P592" s="21"/>
      <c r="Q592" s="21"/>
      <c r="R592" s="21"/>
      <c r="S592" s="21"/>
      <c r="T592" s="21"/>
    </row>
    <row r="593" ht="39.55" customHeight="1">
      <c r="A593" t="s" s="15">
        <v>2305</v>
      </c>
      <c r="B593" s="16">
        <v>2007</v>
      </c>
      <c r="C593" t="s" s="15">
        <v>2306</v>
      </c>
      <c r="D593" t="s" s="17">
        <v>2307</v>
      </c>
      <c r="E593" t="s" s="17">
        <v>2308</v>
      </c>
      <c r="F593" s="18"/>
      <c r="G593" s="19">
        <v>2</v>
      </c>
      <c r="H593" t="s" s="20">
        <v>25</v>
      </c>
      <c r="I593" t="s" s="17">
        <v>26</v>
      </c>
      <c r="J593" t="s" s="17">
        <v>391</v>
      </c>
      <c r="K593" s="18"/>
      <c r="L593" s="18"/>
      <c r="M593" s="18"/>
      <c r="N593" s="18"/>
      <c r="O593" s="21"/>
      <c r="P593" s="21"/>
      <c r="Q593" s="21"/>
      <c r="R593" s="21"/>
      <c r="S593" s="21"/>
      <c r="T593" s="21"/>
    </row>
    <row r="594" ht="39.55" customHeight="1">
      <c r="A594" t="s" s="15">
        <v>2309</v>
      </c>
      <c r="B594" s="16">
        <v>2007</v>
      </c>
      <c r="C594" t="s" s="15">
        <v>2310</v>
      </c>
      <c r="D594" t="s" s="17">
        <v>2311</v>
      </c>
      <c r="E594" t="s" s="17">
        <v>2312</v>
      </c>
      <c r="F594" s="18"/>
      <c r="G594" s="19">
        <v>3</v>
      </c>
      <c r="H594" t="s" s="20">
        <v>46</v>
      </c>
      <c r="I594" t="s" s="17">
        <v>26</v>
      </c>
      <c r="J594" t="s" s="17">
        <v>93</v>
      </c>
      <c r="K594" s="18"/>
      <c r="L594" s="18"/>
      <c r="M594" s="18"/>
      <c r="N594" s="18"/>
      <c r="O594" s="21"/>
      <c r="P594" s="21"/>
      <c r="Q594" s="21"/>
      <c r="R594" s="21"/>
      <c r="S594" s="21"/>
      <c r="T594" s="21"/>
    </row>
    <row r="595" ht="39.55" customHeight="1">
      <c r="A595" t="s" s="15">
        <v>2313</v>
      </c>
      <c r="B595" s="16">
        <v>2009</v>
      </c>
      <c r="C595" t="s" s="15">
        <v>2310</v>
      </c>
      <c r="D595" t="s" s="17">
        <v>2314</v>
      </c>
      <c r="E595" t="s" s="17">
        <v>2315</v>
      </c>
      <c r="F595" s="18"/>
      <c r="G595" s="19">
        <v>2</v>
      </c>
      <c r="H595" t="s" s="20">
        <v>25</v>
      </c>
      <c r="I595" t="s" s="17">
        <v>42</v>
      </c>
      <c r="J595" s="18"/>
      <c r="K595" t="s" s="17">
        <v>43</v>
      </c>
      <c r="L595" t="s" s="17">
        <v>26</v>
      </c>
      <c r="M595" t="s" s="17">
        <v>44</v>
      </c>
      <c r="N595" t="s" s="17">
        <v>521</v>
      </c>
      <c r="O595" s="21"/>
      <c r="P595" t="s" s="20">
        <v>46</v>
      </c>
      <c r="Q595" s="21"/>
      <c r="R595" s="21"/>
      <c r="S595" s="21"/>
      <c r="T595" s="21"/>
    </row>
    <row r="596" ht="39.55" customHeight="1">
      <c r="A596" t="s" s="15">
        <v>2316</v>
      </c>
      <c r="B596" s="16">
        <v>2022</v>
      </c>
      <c r="C596" t="s" s="15">
        <v>2310</v>
      </c>
      <c r="D596" t="s" s="17">
        <v>2317</v>
      </c>
      <c r="E596" t="s" s="17">
        <v>2318</v>
      </c>
      <c r="F596" s="18"/>
      <c r="G596" s="19">
        <v>3</v>
      </c>
      <c r="H596" t="s" s="20">
        <v>46</v>
      </c>
      <c r="I596" t="s" s="17">
        <v>26</v>
      </c>
      <c r="J596" t="s" s="17">
        <v>93</v>
      </c>
      <c r="K596" s="18"/>
      <c r="L596" s="18"/>
      <c r="M596" s="18"/>
      <c r="N596" s="18"/>
      <c r="O596" s="21"/>
      <c r="P596" s="21"/>
      <c r="Q596" s="21"/>
      <c r="R596" s="21"/>
      <c r="S596" s="21"/>
      <c r="T596" s="21"/>
    </row>
    <row r="597" ht="26.55" customHeight="1">
      <c r="A597" t="s" s="15">
        <v>2319</v>
      </c>
      <c r="B597" s="16">
        <v>2011</v>
      </c>
      <c r="C597" t="s" s="15">
        <v>2320</v>
      </c>
      <c r="D597" t="s" s="17">
        <v>2321</v>
      </c>
      <c r="E597" t="s" s="17">
        <v>2322</v>
      </c>
      <c r="F597" s="18"/>
      <c r="G597" s="19">
        <v>3</v>
      </c>
      <c r="H597" t="s" s="20">
        <v>46</v>
      </c>
      <c r="I597" t="s" s="17">
        <v>26</v>
      </c>
      <c r="J597" t="s" s="17">
        <v>31</v>
      </c>
      <c r="K597" s="18"/>
      <c r="L597" s="18"/>
      <c r="M597" s="18"/>
      <c r="N597" s="18"/>
      <c r="O597" s="21"/>
      <c r="P597" s="21"/>
      <c r="Q597" s="21"/>
      <c r="R597" s="21"/>
      <c r="S597" s="21"/>
      <c r="T597" s="21"/>
    </row>
    <row r="598" ht="30" customHeight="1">
      <c r="A598" t="s" s="15">
        <v>2323</v>
      </c>
      <c r="B598" s="16">
        <v>2007</v>
      </c>
      <c r="C598" t="s" s="15">
        <v>2324</v>
      </c>
      <c r="D598" t="s" s="17">
        <v>2325</v>
      </c>
      <c r="E598" t="s" s="17">
        <v>2326</v>
      </c>
      <c r="F598" s="18"/>
      <c r="G598" s="19">
        <v>2</v>
      </c>
      <c r="H598" t="s" s="20">
        <v>25</v>
      </c>
      <c r="I598" t="s" s="17">
        <v>26</v>
      </c>
      <c r="J598" t="s" s="17">
        <v>1071</v>
      </c>
      <c r="K598" t="s" s="17">
        <v>2327</v>
      </c>
      <c r="L598" s="18"/>
      <c r="M598" s="18"/>
      <c r="N598" s="18"/>
      <c r="O598" s="21"/>
      <c r="P598" s="21"/>
      <c r="Q598" s="21"/>
      <c r="R598" s="21"/>
      <c r="S598" s="21"/>
      <c r="T598" s="21"/>
    </row>
    <row r="599" ht="26.55" customHeight="1">
      <c r="A599" t="s" s="15">
        <v>2328</v>
      </c>
      <c r="B599" s="16">
        <v>2005</v>
      </c>
      <c r="C599" t="s" s="15">
        <v>2329</v>
      </c>
      <c r="D599" t="s" s="17">
        <v>2330</v>
      </c>
      <c r="E599" t="s" s="17">
        <v>2331</v>
      </c>
      <c r="F599" s="18"/>
      <c r="G599" s="19">
        <v>2</v>
      </c>
      <c r="H599" t="s" s="20">
        <v>25</v>
      </c>
      <c r="I599" t="s" s="17">
        <v>26</v>
      </c>
      <c r="J599" t="s" s="17">
        <v>391</v>
      </c>
      <c r="K599" s="18"/>
      <c r="L599" s="18"/>
      <c r="M599" s="18"/>
      <c r="N599" s="18"/>
      <c r="O599" s="21"/>
      <c r="P599" s="21"/>
      <c r="Q599" s="21"/>
      <c r="R599" s="21"/>
      <c r="S599" s="21"/>
      <c r="T599" s="21"/>
    </row>
    <row r="600" ht="30" customHeight="1">
      <c r="A600" t="s" s="15">
        <v>2332</v>
      </c>
      <c r="B600" s="16">
        <v>2019</v>
      </c>
      <c r="C600" t="s" s="15">
        <v>2333</v>
      </c>
      <c r="D600" t="s" s="17">
        <v>2334</v>
      </c>
      <c r="E600" t="s" s="17">
        <v>2335</v>
      </c>
      <c r="F600" s="18"/>
      <c r="G600" s="19">
        <v>2</v>
      </c>
      <c r="H600" t="s" s="20">
        <v>25</v>
      </c>
      <c r="I600" t="s" s="17">
        <v>26</v>
      </c>
      <c r="J600" t="s" s="17">
        <v>391</v>
      </c>
      <c r="K600" s="18"/>
      <c r="L600" s="18"/>
      <c r="M600" s="18"/>
      <c r="N600" s="18"/>
      <c r="O600" s="21"/>
      <c r="P600" s="21"/>
      <c r="Q600" s="21"/>
      <c r="R600" s="21"/>
      <c r="S600" s="21"/>
      <c r="T600" s="21"/>
    </row>
    <row r="601" ht="30" customHeight="1">
      <c r="A601" t="s" s="15">
        <v>2336</v>
      </c>
      <c r="B601" s="16">
        <v>2019</v>
      </c>
      <c r="C601" t="s" s="15">
        <v>2337</v>
      </c>
      <c r="D601" t="s" s="17">
        <v>2337</v>
      </c>
      <c r="E601" t="s" s="17">
        <v>2338</v>
      </c>
      <c r="F601" s="18"/>
      <c r="G601" s="19">
        <v>2</v>
      </c>
      <c r="H601" t="s" s="20">
        <v>25</v>
      </c>
      <c r="I601" t="s" s="17">
        <v>26</v>
      </c>
      <c r="J601" t="s" s="17">
        <v>391</v>
      </c>
      <c r="K601" s="18"/>
      <c r="L601" s="18"/>
      <c r="M601" s="18"/>
      <c r="N601" s="18"/>
      <c r="O601" s="21"/>
      <c r="P601" s="21"/>
      <c r="Q601" s="21"/>
      <c r="R601" s="21"/>
      <c r="S601" s="21"/>
      <c r="T601" s="21"/>
    </row>
    <row r="602" ht="30" customHeight="1">
      <c r="A602" t="s" s="15">
        <v>2339</v>
      </c>
      <c r="B602" s="16">
        <v>2016</v>
      </c>
      <c r="C602" t="s" s="15">
        <v>2340</v>
      </c>
      <c r="D602" t="s" s="17">
        <v>2341</v>
      </c>
      <c r="E602" t="s" s="17">
        <v>2342</v>
      </c>
      <c r="F602" s="18"/>
      <c r="G602" s="19">
        <v>3</v>
      </c>
      <c r="H602" t="s" s="20">
        <v>46</v>
      </c>
      <c r="I602" t="s" s="17">
        <v>26</v>
      </c>
      <c r="J602" t="s" s="17">
        <v>1901</v>
      </c>
      <c r="K602" s="18"/>
      <c r="L602" s="18"/>
      <c r="M602" s="18"/>
      <c r="N602" s="18"/>
      <c r="O602" s="21"/>
      <c r="P602" s="21"/>
      <c r="Q602" s="21"/>
      <c r="R602" s="21"/>
      <c r="S602" s="21"/>
      <c r="T602" s="21"/>
    </row>
    <row r="603" ht="30" customHeight="1">
      <c r="A603" t="s" s="15">
        <v>2343</v>
      </c>
      <c r="B603" s="16">
        <v>2014</v>
      </c>
      <c r="C603" t="s" s="15">
        <v>2344</v>
      </c>
      <c r="D603" t="s" s="17">
        <v>2345</v>
      </c>
      <c r="E603" t="s" s="17">
        <v>2346</v>
      </c>
      <c r="F603" s="18"/>
      <c r="G603" s="19">
        <v>2</v>
      </c>
      <c r="H603" t="s" s="20">
        <v>25</v>
      </c>
      <c r="I603" t="s" s="17">
        <v>26</v>
      </c>
      <c r="J603" t="s" s="17">
        <v>102</v>
      </c>
      <c r="K603" s="18"/>
      <c r="L603" s="18"/>
      <c r="M603" s="18"/>
      <c r="N603" s="18"/>
      <c r="O603" s="21"/>
      <c r="P603" s="21"/>
      <c r="Q603" s="21"/>
      <c r="R603" s="21"/>
      <c r="S603" s="21"/>
      <c r="T603" s="21"/>
    </row>
    <row r="604" ht="30" customHeight="1">
      <c r="A604" t="s" s="15">
        <v>2347</v>
      </c>
      <c r="B604" s="16">
        <v>2017</v>
      </c>
      <c r="C604" t="s" s="15">
        <v>2348</v>
      </c>
      <c r="D604" t="s" s="17">
        <v>2349</v>
      </c>
      <c r="E604" t="s" s="17">
        <v>2350</v>
      </c>
      <c r="F604" s="18"/>
      <c r="G604" s="19">
        <v>2</v>
      </c>
      <c r="H604" t="s" s="20">
        <v>25</v>
      </c>
      <c r="I604" t="s" s="17">
        <v>26</v>
      </c>
      <c r="J604" t="s" s="17">
        <v>2351</v>
      </c>
      <c r="K604" s="18"/>
      <c r="L604" s="18"/>
      <c r="M604" s="18"/>
      <c r="N604" s="18"/>
      <c r="O604" s="21"/>
      <c r="P604" s="21"/>
      <c r="Q604" s="21"/>
      <c r="R604" s="21"/>
      <c r="S604" s="21"/>
      <c r="T604" s="21"/>
    </row>
    <row r="605" ht="30" customHeight="1">
      <c r="A605" t="s" s="15">
        <v>2352</v>
      </c>
      <c r="B605" s="16">
        <v>2018</v>
      </c>
      <c r="C605" t="s" s="15">
        <v>2353</v>
      </c>
      <c r="D605" t="s" s="17">
        <v>2354</v>
      </c>
      <c r="E605" t="s" s="17">
        <v>2355</v>
      </c>
      <c r="F605" s="18"/>
      <c r="G605" s="19">
        <v>2</v>
      </c>
      <c r="H605" t="s" s="20">
        <v>25</v>
      </c>
      <c r="I605" t="s" s="17">
        <v>26</v>
      </c>
      <c r="J605" t="s" s="17">
        <v>119</v>
      </c>
      <c r="K605" s="18"/>
      <c r="L605" s="18"/>
      <c r="M605" s="18"/>
      <c r="N605" s="18"/>
      <c r="O605" s="21"/>
      <c r="P605" s="21"/>
      <c r="Q605" s="21"/>
      <c r="R605" s="21"/>
      <c r="S605" s="21"/>
      <c r="T605" s="21"/>
    </row>
    <row r="606" ht="30" customHeight="1">
      <c r="A606" t="s" s="15">
        <v>2356</v>
      </c>
      <c r="B606" s="16">
        <v>2016</v>
      </c>
      <c r="C606" t="s" s="15">
        <v>2357</v>
      </c>
      <c r="D606" t="s" s="17">
        <v>2358</v>
      </c>
      <c r="E606" t="s" s="17">
        <v>2359</v>
      </c>
      <c r="F606" s="18"/>
      <c r="G606" s="19">
        <v>3</v>
      </c>
      <c r="H606" t="s" s="20">
        <v>46</v>
      </c>
      <c r="I606" t="s" s="17">
        <v>26</v>
      </c>
      <c r="J606" t="s" s="17">
        <v>1901</v>
      </c>
      <c r="K606" t="s" s="17">
        <v>2360</v>
      </c>
      <c r="L606" s="18"/>
      <c r="M606" s="18"/>
      <c r="N606" s="18"/>
      <c r="O606" s="21"/>
      <c r="P606" s="21"/>
      <c r="Q606" s="21"/>
      <c r="R606" s="21"/>
      <c r="S606" s="21"/>
      <c r="T606" s="21"/>
    </row>
    <row r="607" ht="30" customHeight="1">
      <c r="A607" t="s" s="15">
        <v>2361</v>
      </c>
      <c r="B607" s="16">
        <v>2016</v>
      </c>
      <c r="C607" t="s" s="15">
        <v>2362</v>
      </c>
      <c r="D607" t="s" s="17">
        <v>2363</v>
      </c>
      <c r="E607" t="s" s="17">
        <v>2364</v>
      </c>
      <c r="F607" s="18"/>
      <c r="G607" s="19">
        <v>3</v>
      </c>
      <c r="H607" t="s" s="20">
        <v>46</v>
      </c>
      <c r="I607" t="s" s="17">
        <v>26</v>
      </c>
      <c r="J607" t="s" s="17">
        <v>885</v>
      </c>
      <c r="K607" t="s" s="17">
        <v>886</v>
      </c>
      <c r="L607" t="s" s="17">
        <v>26</v>
      </c>
      <c r="M607" s="18"/>
      <c r="N607" s="18"/>
      <c r="O607" t="s" s="20">
        <v>2365</v>
      </c>
      <c r="P607" s="21"/>
      <c r="Q607" s="21"/>
      <c r="R607" s="21"/>
      <c r="S607" s="21"/>
      <c r="T607" s="21"/>
    </row>
    <row r="608" ht="39.55" customHeight="1">
      <c r="A608" t="s" s="15">
        <v>2366</v>
      </c>
      <c r="B608" s="16">
        <v>2006</v>
      </c>
      <c r="C608" t="s" s="15">
        <v>2367</v>
      </c>
      <c r="D608" t="s" s="17">
        <v>2368</v>
      </c>
      <c r="E608" t="s" s="17">
        <v>2369</v>
      </c>
      <c r="F608" s="18"/>
      <c r="G608" s="19">
        <v>2</v>
      </c>
      <c r="H608" t="s" s="20">
        <v>25</v>
      </c>
      <c r="I608" t="s" s="17">
        <v>26</v>
      </c>
      <c r="J608" t="s" s="17">
        <v>61</v>
      </c>
      <c r="K608" s="18"/>
      <c r="L608" s="18"/>
      <c r="M608" s="18"/>
      <c r="N608" s="18"/>
      <c r="O608" s="21"/>
      <c r="P608" s="21"/>
      <c r="Q608" s="21"/>
      <c r="R608" s="21"/>
      <c r="S608" s="21"/>
      <c r="T608" s="21"/>
    </row>
    <row r="609" ht="30" customHeight="1">
      <c r="A609" t="s" s="15">
        <v>2370</v>
      </c>
      <c r="B609" s="16">
        <v>2013</v>
      </c>
      <c r="C609" t="s" s="15">
        <v>2371</v>
      </c>
      <c r="D609" t="s" s="17">
        <v>2372</v>
      </c>
      <c r="E609" t="s" s="17">
        <v>2373</v>
      </c>
      <c r="F609" s="18"/>
      <c r="G609" s="19">
        <v>3</v>
      </c>
      <c r="H609" t="s" s="20">
        <v>46</v>
      </c>
      <c r="I609" t="s" s="17">
        <v>26</v>
      </c>
      <c r="J609" t="s" s="17">
        <v>2374</v>
      </c>
      <c r="K609" s="18"/>
      <c r="L609" s="18"/>
      <c r="M609" s="18"/>
      <c r="N609" s="18"/>
      <c r="O609" s="21"/>
      <c r="P609" s="21"/>
      <c r="Q609" s="21"/>
      <c r="R609" s="21"/>
      <c r="S609" s="21"/>
      <c r="T609" s="21"/>
    </row>
    <row r="610" ht="30" customHeight="1">
      <c r="A610" t="s" s="15">
        <v>2375</v>
      </c>
      <c r="B610" s="16">
        <v>2012</v>
      </c>
      <c r="C610" t="s" s="15">
        <v>2376</v>
      </c>
      <c r="D610" t="s" s="17">
        <v>2377</v>
      </c>
      <c r="E610" t="s" s="17">
        <v>2378</v>
      </c>
      <c r="F610" s="18"/>
      <c r="G610" s="19">
        <v>2</v>
      </c>
      <c r="H610" t="s" s="20">
        <v>25</v>
      </c>
      <c r="I610" t="s" s="17">
        <v>26</v>
      </c>
      <c r="J610" t="s" s="17">
        <v>102</v>
      </c>
      <c r="K610" s="18"/>
      <c r="L610" s="18"/>
      <c r="M610" s="18"/>
      <c r="N610" s="18"/>
      <c r="O610" s="21"/>
      <c r="P610" s="21"/>
      <c r="Q610" s="21"/>
      <c r="R610" s="21"/>
      <c r="S610" s="21"/>
      <c r="T610" s="21"/>
    </row>
    <row r="611" ht="30" customHeight="1">
      <c r="A611" t="s" s="15">
        <v>2379</v>
      </c>
      <c r="B611" s="16">
        <v>2005</v>
      </c>
      <c r="C611" t="s" s="15">
        <v>2380</v>
      </c>
      <c r="D611" t="s" s="17">
        <v>2381</v>
      </c>
      <c r="E611" t="s" s="17">
        <v>2382</v>
      </c>
      <c r="F611" s="18"/>
      <c r="G611" s="19">
        <v>3</v>
      </c>
      <c r="H611" t="s" s="20">
        <v>46</v>
      </c>
      <c r="I611" t="s" s="17">
        <v>26</v>
      </c>
      <c r="J611" t="s" s="17">
        <v>85</v>
      </c>
      <c r="K611" s="18"/>
      <c r="L611" s="18"/>
      <c r="M611" s="18"/>
      <c r="N611" s="18"/>
      <c r="O611" s="21"/>
      <c r="P611" s="21"/>
      <c r="Q611" s="21"/>
      <c r="R611" s="21"/>
      <c r="S611" s="21"/>
      <c r="T611" s="21"/>
    </row>
    <row r="612" ht="45" customHeight="1">
      <c r="A612" t="s" s="15">
        <v>2383</v>
      </c>
      <c r="B612" s="16">
        <v>2013</v>
      </c>
      <c r="C612" t="s" s="15">
        <v>2384</v>
      </c>
      <c r="D612" t="s" s="17">
        <v>2385</v>
      </c>
      <c r="E612" t="s" s="17">
        <v>2386</v>
      </c>
      <c r="F612" s="18"/>
      <c r="G612" s="19">
        <v>3</v>
      </c>
      <c r="H612" t="s" s="20">
        <v>46</v>
      </c>
      <c r="I612" t="s" s="17">
        <v>26</v>
      </c>
      <c r="J612" t="s" s="17">
        <v>85</v>
      </c>
      <c r="K612" s="18"/>
      <c r="L612" s="18"/>
      <c r="M612" s="18"/>
      <c r="N612" s="18"/>
      <c r="O612" s="21"/>
      <c r="P612" s="21"/>
      <c r="Q612" s="21"/>
      <c r="R612" s="21"/>
      <c r="S612" s="21"/>
      <c r="T612" s="21"/>
    </row>
    <row r="613" ht="45" customHeight="1">
      <c r="A613" t="s" s="15">
        <v>2387</v>
      </c>
      <c r="B613" s="16">
        <v>2017</v>
      </c>
      <c r="C613" t="s" s="15">
        <v>2384</v>
      </c>
      <c r="D613" t="s" s="17">
        <v>2388</v>
      </c>
      <c r="E613" t="s" s="17">
        <v>2389</v>
      </c>
      <c r="F613" s="18"/>
      <c r="G613" s="19">
        <v>3</v>
      </c>
      <c r="H613" t="s" s="20">
        <v>25</v>
      </c>
      <c r="I613" t="s" s="17">
        <v>26</v>
      </c>
      <c r="J613" t="s" s="17">
        <v>2390</v>
      </c>
      <c r="K613" s="18"/>
      <c r="L613" s="18"/>
      <c r="M613" s="18"/>
      <c r="N613" s="18"/>
      <c r="O613" s="21"/>
      <c r="P613" s="21"/>
      <c r="Q613" s="21"/>
      <c r="R613" s="21"/>
      <c r="S613" s="21"/>
      <c r="T613" s="21"/>
    </row>
    <row r="614" ht="26.55" customHeight="1">
      <c r="A614" t="s" s="15">
        <v>2391</v>
      </c>
      <c r="B614" s="16">
        <v>2005</v>
      </c>
      <c r="C614" t="s" s="15">
        <v>2392</v>
      </c>
      <c r="D614" t="s" s="17">
        <v>2393</v>
      </c>
      <c r="E614" s="18"/>
      <c r="F614" s="18"/>
      <c r="G614" s="19">
        <v>2</v>
      </c>
      <c r="H614" t="s" s="20">
        <v>25</v>
      </c>
      <c r="I614" t="s" s="17">
        <v>26</v>
      </c>
      <c r="J614" t="s" s="17">
        <v>2390</v>
      </c>
      <c r="K614" s="18"/>
      <c r="L614" s="18"/>
      <c r="M614" s="18"/>
      <c r="N614" s="18"/>
      <c r="O614" s="21"/>
      <c r="P614" s="21"/>
      <c r="Q614" s="21"/>
      <c r="R614" s="21"/>
      <c r="S614" s="21"/>
      <c r="T614" s="21"/>
    </row>
    <row r="615" ht="30" customHeight="1">
      <c r="A615" t="s" s="15">
        <v>2394</v>
      </c>
      <c r="B615" s="16">
        <v>2005</v>
      </c>
      <c r="C615" t="s" s="15">
        <v>2395</v>
      </c>
      <c r="D615" t="s" s="17">
        <v>2396</v>
      </c>
      <c r="E615" t="s" s="17">
        <v>2397</v>
      </c>
      <c r="F615" s="18"/>
      <c r="G615" s="19">
        <v>2</v>
      </c>
      <c r="H615" t="s" s="20">
        <v>25</v>
      </c>
      <c r="I615" t="s" s="17">
        <v>26</v>
      </c>
      <c r="J615" t="s" s="17">
        <v>31</v>
      </c>
      <c r="K615" t="s" s="17">
        <v>2398</v>
      </c>
      <c r="L615" s="18"/>
      <c r="M615" s="18"/>
      <c r="N615" s="18"/>
      <c r="O615" s="21"/>
      <c r="P615" s="21"/>
      <c r="Q615" s="21"/>
      <c r="R615" s="21"/>
      <c r="S615" s="21"/>
      <c r="T615" s="21"/>
    </row>
    <row r="616" ht="26.55" customHeight="1">
      <c r="A616" t="s" s="15">
        <v>2399</v>
      </c>
      <c r="B616" s="16">
        <v>2007</v>
      </c>
      <c r="C616" t="s" s="15">
        <v>2395</v>
      </c>
      <c r="D616" t="s" s="17">
        <v>2400</v>
      </c>
      <c r="E616" t="s" s="17">
        <v>2401</v>
      </c>
      <c r="F616" s="18"/>
      <c r="G616" s="19">
        <v>3</v>
      </c>
      <c r="H616" t="s" s="20">
        <v>46</v>
      </c>
      <c r="I616" t="s" s="17">
        <v>26</v>
      </c>
      <c r="J616" t="s" s="17">
        <v>2402</v>
      </c>
      <c r="K616" t="s" s="17">
        <v>2403</v>
      </c>
      <c r="L616" s="18"/>
      <c r="M616" s="18"/>
      <c r="N616" s="18"/>
      <c r="O616" s="21"/>
      <c r="P616" s="21"/>
      <c r="Q616" s="21"/>
      <c r="R616" s="21"/>
      <c r="S616" s="21"/>
      <c r="T616" s="21"/>
    </row>
    <row r="617" ht="30" customHeight="1">
      <c r="A617" t="s" s="15">
        <v>2404</v>
      </c>
      <c r="B617" s="16">
        <v>2009</v>
      </c>
      <c r="C617" t="s" s="15">
        <v>2395</v>
      </c>
      <c r="D617" t="s" s="17">
        <v>2405</v>
      </c>
      <c r="E617" t="s" s="17">
        <v>2406</v>
      </c>
      <c r="F617" s="18"/>
      <c r="G617" s="19">
        <v>2</v>
      </c>
      <c r="H617" t="s" s="20">
        <v>25</v>
      </c>
      <c r="I617" t="s" s="17">
        <v>42</v>
      </c>
      <c r="J617" s="18"/>
      <c r="K617" t="s" s="17">
        <v>43</v>
      </c>
      <c r="L617" t="s" s="17">
        <v>42</v>
      </c>
      <c r="M617" t="s" s="17">
        <v>212</v>
      </c>
      <c r="N617" s="18"/>
      <c r="O617" t="s" s="20">
        <v>2407</v>
      </c>
      <c r="P617" t="s" s="20">
        <v>46</v>
      </c>
      <c r="Q617" s="21"/>
      <c r="R617" s="21"/>
      <c r="S617" s="21"/>
      <c r="T617" s="21"/>
    </row>
    <row r="618" ht="45" customHeight="1">
      <c r="A618" t="s" s="15">
        <v>2408</v>
      </c>
      <c r="B618" s="16">
        <v>2020</v>
      </c>
      <c r="C618" t="s" s="15">
        <v>2395</v>
      </c>
      <c r="D618" t="s" s="17">
        <v>2409</v>
      </c>
      <c r="E618" t="s" s="17">
        <v>2410</v>
      </c>
      <c r="F618" s="18"/>
      <c r="G618" s="19">
        <v>3</v>
      </c>
      <c r="H618" t="s" s="20">
        <v>46</v>
      </c>
      <c r="I618" t="s" s="17">
        <v>26</v>
      </c>
      <c r="J618" t="s" s="17">
        <v>93</v>
      </c>
      <c r="K618" t="s" s="17">
        <v>80</v>
      </c>
      <c r="L618" s="18"/>
      <c r="M618" s="18"/>
      <c r="N618" s="18"/>
      <c r="O618" s="21"/>
      <c r="P618" s="21"/>
      <c r="Q618" s="21"/>
      <c r="R618" s="21"/>
      <c r="S618" s="21"/>
      <c r="T618" s="21"/>
    </row>
    <row r="619" ht="30" customHeight="1">
      <c r="A619" t="s" s="15">
        <v>2411</v>
      </c>
      <c r="B619" s="16">
        <v>2018</v>
      </c>
      <c r="C619" t="s" s="15">
        <v>2412</v>
      </c>
      <c r="D619" t="s" s="17">
        <v>2413</v>
      </c>
      <c r="E619" t="s" s="17">
        <v>2414</v>
      </c>
      <c r="F619" s="18"/>
      <c r="G619" s="19">
        <v>3</v>
      </c>
      <c r="H619" t="s" s="20">
        <v>46</v>
      </c>
      <c r="I619" t="s" s="17">
        <v>26</v>
      </c>
      <c r="J619" t="s" s="17">
        <v>2415</v>
      </c>
      <c r="K619" s="18"/>
      <c r="L619" s="18"/>
      <c r="M619" s="18"/>
      <c r="N619" s="18"/>
      <c r="O619" s="21"/>
      <c r="P619" s="21"/>
      <c r="Q619" s="21"/>
      <c r="R619" s="21"/>
      <c r="S619" s="21"/>
      <c r="T619" s="21"/>
    </row>
    <row r="620" ht="30" customHeight="1">
      <c r="A620" t="s" s="15">
        <v>2416</v>
      </c>
      <c r="B620" s="16">
        <v>2020</v>
      </c>
      <c r="C620" t="s" s="15">
        <v>2417</v>
      </c>
      <c r="D620" t="s" s="17">
        <v>2418</v>
      </c>
      <c r="E620" t="s" s="17">
        <v>2419</v>
      </c>
      <c r="F620" s="18"/>
      <c r="G620" s="19">
        <v>2</v>
      </c>
      <c r="H620" t="s" s="20">
        <v>25</v>
      </c>
      <c r="I620" t="s" s="17">
        <v>42</v>
      </c>
      <c r="J620" t="s" s="17">
        <v>85</v>
      </c>
      <c r="K620" t="s" s="17">
        <v>2420</v>
      </c>
      <c r="L620" s="18"/>
      <c r="M620" s="18"/>
      <c r="N620" s="18"/>
      <c r="O620" s="21"/>
      <c r="P620" s="21"/>
      <c r="Q620" s="21"/>
      <c r="R620" s="21"/>
      <c r="S620" s="21"/>
      <c r="T620" s="21"/>
    </row>
    <row r="621" ht="30" customHeight="1">
      <c r="A621" t="s" s="15">
        <v>2421</v>
      </c>
      <c r="B621" s="16">
        <v>2018</v>
      </c>
      <c r="C621" t="s" s="15">
        <v>2422</v>
      </c>
      <c r="D621" t="s" s="17">
        <v>2423</v>
      </c>
      <c r="E621" t="s" s="17">
        <v>2424</v>
      </c>
      <c r="F621" s="18"/>
      <c r="G621" s="19">
        <v>2</v>
      </c>
      <c r="H621" t="s" s="20">
        <v>25</v>
      </c>
      <c r="I621" t="s" s="17">
        <v>26</v>
      </c>
      <c r="J621" t="s" s="17">
        <v>102</v>
      </c>
      <c r="K621" s="18"/>
      <c r="L621" s="18"/>
      <c r="M621" s="18"/>
      <c r="N621" s="18"/>
      <c r="O621" s="21"/>
      <c r="P621" s="21"/>
      <c r="Q621" s="21"/>
      <c r="R621" s="21"/>
      <c r="S621" s="21"/>
      <c r="T621" s="21"/>
    </row>
    <row r="622" ht="26.55" customHeight="1">
      <c r="A622" t="s" s="15">
        <v>2425</v>
      </c>
      <c r="B622" s="16">
        <v>2020</v>
      </c>
      <c r="C622" t="s" s="15">
        <v>2426</v>
      </c>
      <c r="D622" t="s" s="17">
        <v>2427</v>
      </c>
      <c r="E622" t="s" s="17">
        <v>2428</v>
      </c>
      <c r="F622" s="18"/>
      <c r="G622" s="19">
        <v>3</v>
      </c>
      <c r="H622" t="s" s="20">
        <v>46</v>
      </c>
      <c r="I622" t="s" s="17">
        <v>26</v>
      </c>
      <c r="J622" t="s" s="17">
        <v>31</v>
      </c>
      <c r="K622" t="s" s="17">
        <v>2429</v>
      </c>
      <c r="L622" s="18"/>
      <c r="M622" s="18"/>
      <c r="N622" s="18"/>
      <c r="O622" s="21"/>
      <c r="P622" s="21"/>
      <c r="Q622" s="21"/>
      <c r="R622" s="21"/>
      <c r="S622" s="21"/>
      <c r="T622" s="21"/>
    </row>
    <row r="623" ht="39.55" customHeight="1">
      <c r="A623" t="s" s="15">
        <v>2430</v>
      </c>
      <c r="B623" s="16">
        <v>2010</v>
      </c>
      <c r="C623" t="s" s="15">
        <v>2431</v>
      </c>
      <c r="D623" t="s" s="17">
        <v>2432</v>
      </c>
      <c r="E623" t="s" s="17">
        <v>2433</v>
      </c>
      <c r="F623" s="18"/>
      <c r="G623" s="19">
        <v>2</v>
      </c>
      <c r="H623" t="s" s="20">
        <v>25</v>
      </c>
      <c r="I623" t="s" s="17">
        <v>26</v>
      </c>
      <c r="J623" t="s" s="17">
        <v>31</v>
      </c>
      <c r="K623" s="18"/>
      <c r="L623" s="18"/>
      <c r="M623" s="18"/>
      <c r="N623" s="18"/>
      <c r="O623" s="21"/>
      <c r="P623" s="21"/>
      <c r="Q623" s="21"/>
      <c r="R623" s="21"/>
      <c r="S623" s="21"/>
      <c r="T623" s="21"/>
    </row>
    <row r="624" ht="30" customHeight="1">
      <c r="A624" t="s" s="15">
        <v>2434</v>
      </c>
      <c r="B624" s="16">
        <v>2005</v>
      </c>
      <c r="C624" t="s" s="15">
        <v>2435</v>
      </c>
      <c r="D624" t="s" s="17">
        <v>2436</v>
      </c>
      <c r="E624" t="s" s="17">
        <v>2437</v>
      </c>
      <c r="F624" s="18"/>
      <c r="G624" s="19">
        <v>3</v>
      </c>
      <c r="H624" t="s" s="20">
        <v>46</v>
      </c>
      <c r="I624" t="s" s="17">
        <v>26</v>
      </c>
      <c r="J624" t="s" s="17">
        <v>93</v>
      </c>
      <c r="K624" s="18"/>
      <c r="L624" s="18"/>
      <c r="M624" s="18"/>
      <c r="N624" s="18"/>
      <c r="O624" s="21"/>
      <c r="P624" s="21"/>
      <c r="Q624" s="21"/>
      <c r="R624" s="21"/>
      <c r="S624" s="21"/>
      <c r="T624" s="21"/>
    </row>
    <row r="625" ht="30" customHeight="1">
      <c r="A625" t="s" s="15">
        <v>2438</v>
      </c>
      <c r="B625" s="16">
        <v>2020</v>
      </c>
      <c r="C625" t="s" s="15">
        <v>2439</v>
      </c>
      <c r="D625" t="s" s="17">
        <v>2440</v>
      </c>
      <c r="E625" t="s" s="17">
        <v>2441</v>
      </c>
      <c r="F625" s="18"/>
      <c r="G625" s="19">
        <v>3</v>
      </c>
      <c r="H625" t="s" s="20">
        <v>46</v>
      </c>
      <c r="I625" t="s" s="17">
        <v>26</v>
      </c>
      <c r="J625" t="s" s="17">
        <v>31</v>
      </c>
      <c r="K625" s="18"/>
      <c r="L625" s="18"/>
      <c r="M625" s="18"/>
      <c r="N625" s="18"/>
      <c r="O625" s="21"/>
      <c r="P625" s="21"/>
      <c r="Q625" s="21"/>
      <c r="R625" s="21"/>
      <c r="S625" s="21"/>
      <c r="T625" s="21"/>
    </row>
    <row r="626" ht="30" customHeight="1">
      <c r="A626" t="s" s="15">
        <v>2442</v>
      </c>
      <c r="B626" s="16">
        <v>2009</v>
      </c>
      <c r="C626" t="s" s="15">
        <v>2443</v>
      </c>
      <c r="D626" t="s" s="17">
        <v>2444</v>
      </c>
      <c r="E626" t="s" s="17">
        <v>2445</v>
      </c>
      <c r="F626" s="18"/>
      <c r="G626" s="19">
        <v>2</v>
      </c>
      <c r="H626" t="s" s="20">
        <v>25</v>
      </c>
      <c r="I626" t="s" s="17">
        <v>42</v>
      </c>
      <c r="J626" s="18"/>
      <c r="K626" t="s" s="17">
        <v>43</v>
      </c>
      <c r="L626" t="s" s="17">
        <v>26</v>
      </c>
      <c r="M626" s="18"/>
      <c r="N626" t="s" s="17">
        <v>316</v>
      </c>
      <c r="O626" t="s" s="20">
        <v>2446</v>
      </c>
      <c r="P626" s="21"/>
      <c r="Q626" s="21"/>
      <c r="R626" s="21"/>
      <c r="S626" s="21"/>
      <c r="T626" s="21"/>
    </row>
    <row r="627" ht="39.55" customHeight="1">
      <c r="A627" t="s" s="15">
        <v>2447</v>
      </c>
      <c r="B627" s="16">
        <v>2007</v>
      </c>
      <c r="C627" t="s" s="15">
        <v>2448</v>
      </c>
      <c r="D627" t="s" s="17">
        <v>2449</v>
      </c>
      <c r="E627" t="s" s="17">
        <v>2450</v>
      </c>
      <c r="F627" s="18"/>
      <c r="G627" s="19">
        <v>2</v>
      </c>
      <c r="H627" t="s" s="20">
        <v>25</v>
      </c>
      <c r="I627" t="s" s="17">
        <v>26</v>
      </c>
      <c r="J627" t="s" s="17">
        <v>885</v>
      </c>
      <c r="K627" t="s" s="17">
        <v>886</v>
      </c>
      <c r="L627" s="18"/>
      <c r="M627" s="18"/>
      <c r="N627" s="18"/>
      <c r="O627" s="21"/>
      <c r="P627" s="21"/>
      <c r="Q627" s="21"/>
      <c r="R627" s="21"/>
      <c r="S627" s="21"/>
      <c r="T627" s="21"/>
    </row>
    <row r="628" ht="26.55" customHeight="1">
      <c r="A628" t="s" s="15">
        <v>2451</v>
      </c>
      <c r="B628" s="16">
        <v>2013</v>
      </c>
      <c r="C628" t="s" s="15">
        <v>2448</v>
      </c>
      <c r="D628" t="s" s="17">
        <v>2452</v>
      </c>
      <c r="E628" t="s" s="17">
        <v>2453</v>
      </c>
      <c r="F628" s="18"/>
      <c r="G628" s="19">
        <v>2</v>
      </c>
      <c r="H628" t="s" s="20">
        <v>25</v>
      </c>
      <c r="I628" t="s" s="17">
        <v>42</v>
      </c>
      <c r="J628" s="18"/>
      <c r="K628" t="s" s="17">
        <v>43</v>
      </c>
      <c r="L628" t="s" s="17">
        <v>42</v>
      </c>
      <c r="M628" t="s" s="17">
        <v>212</v>
      </c>
      <c r="N628" s="18"/>
      <c r="O628" s="21"/>
      <c r="P628" t="s" s="20">
        <v>25</v>
      </c>
      <c r="Q628" s="21"/>
      <c r="R628" s="21"/>
      <c r="S628" s="21"/>
      <c r="T628" s="21"/>
    </row>
    <row r="629" ht="30" customHeight="1">
      <c r="A629" t="s" s="15">
        <v>2454</v>
      </c>
      <c r="B629" s="16">
        <v>2010</v>
      </c>
      <c r="C629" t="s" s="15">
        <v>2455</v>
      </c>
      <c r="D629" t="s" s="17">
        <v>2456</v>
      </c>
      <c r="E629" t="s" s="17">
        <v>2457</v>
      </c>
      <c r="F629" s="18"/>
      <c r="G629" s="19">
        <v>3</v>
      </c>
      <c r="H629" t="s" s="20">
        <v>46</v>
      </c>
      <c r="I629" t="s" s="17">
        <v>42</v>
      </c>
      <c r="J629" t="s" s="17">
        <v>660</v>
      </c>
      <c r="K629" t="s" s="17">
        <v>1346</v>
      </c>
      <c r="L629" s="18"/>
      <c r="M629" s="18"/>
      <c r="N629" s="18"/>
      <c r="O629" s="21"/>
      <c r="P629" s="21"/>
      <c r="Q629" s="21"/>
      <c r="R629" s="21"/>
      <c r="S629" s="21"/>
      <c r="T629" s="21"/>
    </row>
    <row r="630" ht="30" customHeight="1">
      <c r="A630" t="s" s="15">
        <v>2458</v>
      </c>
      <c r="B630" s="16">
        <v>2011</v>
      </c>
      <c r="C630" t="s" s="15">
        <v>2459</v>
      </c>
      <c r="D630" t="s" s="17">
        <v>2460</v>
      </c>
      <c r="E630" t="s" s="17">
        <v>2461</v>
      </c>
      <c r="F630" s="18"/>
      <c r="G630" s="19">
        <v>2</v>
      </c>
      <c r="H630" t="s" s="20">
        <v>25</v>
      </c>
      <c r="I630" t="s" s="17">
        <v>42</v>
      </c>
      <c r="J630" s="18"/>
      <c r="K630" t="s" s="17">
        <v>43</v>
      </c>
      <c r="L630" t="s" s="17">
        <v>26</v>
      </c>
      <c r="M630" s="18"/>
      <c r="N630" t="s" s="17">
        <v>102</v>
      </c>
      <c r="O630" t="s" s="20">
        <v>2462</v>
      </c>
      <c r="P630" s="21"/>
      <c r="Q630" s="21"/>
      <c r="R630" s="21"/>
      <c r="S630" s="21"/>
      <c r="T630" s="21"/>
    </row>
    <row r="631" ht="30" customHeight="1">
      <c r="A631" t="s" s="15">
        <v>2463</v>
      </c>
      <c r="B631" s="16">
        <v>2008</v>
      </c>
      <c r="C631" t="s" s="15">
        <v>2464</v>
      </c>
      <c r="D631" t="s" s="17">
        <v>2465</v>
      </c>
      <c r="E631" t="s" s="17">
        <v>2466</v>
      </c>
      <c r="F631" s="18"/>
      <c r="G631" s="19">
        <v>2</v>
      </c>
      <c r="H631" t="s" s="20">
        <v>25</v>
      </c>
      <c r="I631" t="s" s="17">
        <v>26</v>
      </c>
      <c r="J631" t="s" s="17">
        <v>660</v>
      </c>
      <c r="K631" t="s" s="17">
        <v>661</v>
      </c>
      <c r="L631" s="18"/>
      <c r="M631" s="18"/>
      <c r="N631" s="18"/>
      <c r="O631" s="21"/>
      <c r="P631" s="21"/>
      <c r="Q631" s="21"/>
      <c r="R631" s="21"/>
      <c r="S631" s="21"/>
      <c r="T631" s="21"/>
    </row>
    <row r="632" ht="45" customHeight="1">
      <c r="A632" t="s" s="15">
        <v>2467</v>
      </c>
      <c r="B632" s="16">
        <v>2010</v>
      </c>
      <c r="C632" t="s" s="15">
        <v>2464</v>
      </c>
      <c r="D632" t="s" s="17">
        <v>2468</v>
      </c>
      <c r="E632" t="s" s="17">
        <v>2469</v>
      </c>
      <c r="F632" s="18"/>
      <c r="G632" s="19">
        <v>2</v>
      </c>
      <c r="H632" t="s" s="20">
        <v>25</v>
      </c>
      <c r="I632" t="s" s="17">
        <v>26</v>
      </c>
      <c r="J632" t="s" s="17">
        <v>660</v>
      </c>
      <c r="K632" t="s" s="17">
        <v>661</v>
      </c>
      <c r="L632" s="18"/>
      <c r="M632" s="18"/>
      <c r="N632" s="18"/>
      <c r="O632" s="21"/>
      <c r="P632" s="21"/>
      <c r="Q632" s="21"/>
      <c r="R632" s="21"/>
      <c r="S632" s="21"/>
      <c r="T632" s="21"/>
    </row>
    <row r="633" ht="30" customHeight="1">
      <c r="A633" t="s" s="15">
        <v>2470</v>
      </c>
      <c r="B633" s="16">
        <v>2016</v>
      </c>
      <c r="C633" t="s" s="15">
        <v>2464</v>
      </c>
      <c r="D633" t="s" s="17">
        <v>2471</v>
      </c>
      <c r="E633" t="s" s="17">
        <v>2472</v>
      </c>
      <c r="F633" s="18"/>
      <c r="G633" s="19">
        <v>3</v>
      </c>
      <c r="H633" t="s" s="20">
        <v>46</v>
      </c>
      <c r="I633" t="s" s="17">
        <v>26</v>
      </c>
      <c r="J633" t="s" s="17">
        <v>660</v>
      </c>
      <c r="K633" t="s" s="17">
        <v>661</v>
      </c>
      <c r="L633" s="18"/>
      <c r="M633" s="18"/>
      <c r="N633" s="18"/>
      <c r="O633" s="21"/>
      <c r="P633" s="21"/>
      <c r="Q633" s="21"/>
      <c r="R633" s="21"/>
      <c r="S633" s="21"/>
      <c r="T633" s="21"/>
    </row>
    <row r="634" ht="45" customHeight="1">
      <c r="A634" t="s" s="15">
        <v>2473</v>
      </c>
      <c r="B634" s="16">
        <v>2020</v>
      </c>
      <c r="C634" t="s" s="15">
        <v>2474</v>
      </c>
      <c r="D634" t="s" s="17">
        <v>2475</v>
      </c>
      <c r="E634" t="s" s="17">
        <v>2476</v>
      </c>
      <c r="F634" s="18"/>
      <c r="G634" s="19">
        <v>3</v>
      </c>
      <c r="H634" t="s" s="20">
        <v>46</v>
      </c>
      <c r="I634" t="s" s="17">
        <v>26</v>
      </c>
      <c r="J634" t="s" s="17">
        <v>660</v>
      </c>
      <c r="K634" t="s" s="17">
        <v>661</v>
      </c>
      <c r="L634" s="18"/>
      <c r="M634" s="18"/>
      <c r="N634" s="18"/>
      <c r="O634" s="21"/>
      <c r="P634" s="21"/>
      <c r="Q634" s="21"/>
      <c r="R634" s="21"/>
      <c r="S634" s="21"/>
      <c r="T634" s="21"/>
    </row>
    <row r="635" ht="30" customHeight="1">
      <c r="A635" t="s" s="15">
        <v>2477</v>
      </c>
      <c r="B635" s="16">
        <v>2019</v>
      </c>
      <c r="C635" t="s" s="15">
        <v>2478</v>
      </c>
      <c r="D635" t="s" s="17">
        <v>2479</v>
      </c>
      <c r="E635" t="s" s="17">
        <v>2480</v>
      </c>
      <c r="F635" s="18"/>
      <c r="G635" s="19">
        <v>2</v>
      </c>
      <c r="H635" t="s" s="20">
        <v>25</v>
      </c>
      <c r="I635" t="s" s="17">
        <v>42</v>
      </c>
      <c r="J635" s="18"/>
      <c r="K635" t="s" s="17">
        <v>43</v>
      </c>
      <c r="L635" t="s" s="17">
        <v>42</v>
      </c>
      <c r="M635" t="s" s="17">
        <v>212</v>
      </c>
      <c r="N635" s="18"/>
      <c r="O635" s="21"/>
      <c r="P635" t="s" s="20">
        <v>25</v>
      </c>
      <c r="Q635" s="21"/>
      <c r="R635" s="21"/>
      <c r="S635" s="21"/>
      <c r="T635" s="21"/>
    </row>
    <row r="636" ht="39.55" customHeight="1">
      <c r="A636" t="s" s="15">
        <v>2481</v>
      </c>
      <c r="B636" s="16">
        <v>2013</v>
      </c>
      <c r="C636" t="s" s="15">
        <v>2482</v>
      </c>
      <c r="D636" t="s" s="17">
        <v>2483</v>
      </c>
      <c r="E636" s="18"/>
      <c r="F636" s="18"/>
      <c r="G636" s="19">
        <v>3</v>
      </c>
      <c r="H636" t="s" s="20">
        <v>46</v>
      </c>
      <c r="I636" t="s" s="17">
        <v>2179</v>
      </c>
      <c r="J636" t="s" s="17">
        <v>31</v>
      </c>
      <c r="K636" t="s" s="17">
        <v>886</v>
      </c>
      <c r="L636" s="18"/>
      <c r="M636" s="18"/>
      <c r="N636" s="18"/>
      <c r="O636" s="21"/>
      <c r="P636" s="21"/>
      <c r="Q636" s="21"/>
      <c r="R636" s="21"/>
      <c r="S636" s="21"/>
      <c r="T636" s="21"/>
    </row>
    <row r="637" ht="30" customHeight="1">
      <c r="A637" t="s" s="15">
        <v>2484</v>
      </c>
      <c r="B637" s="16">
        <v>2021</v>
      </c>
      <c r="C637" t="s" s="15">
        <v>2485</v>
      </c>
      <c r="D637" t="s" s="17">
        <v>2486</v>
      </c>
      <c r="E637" t="s" s="17">
        <v>2487</v>
      </c>
      <c r="F637" s="18"/>
      <c r="G637" s="19">
        <v>2</v>
      </c>
      <c r="H637" t="s" s="20">
        <v>25</v>
      </c>
      <c r="I637" t="s" s="17">
        <v>26</v>
      </c>
      <c r="J637" t="s" s="17">
        <v>93</v>
      </c>
      <c r="K637" s="18"/>
      <c r="L637" s="18"/>
      <c r="M637" s="18"/>
      <c r="N637" s="18"/>
      <c r="O637" s="21"/>
      <c r="P637" s="21"/>
      <c r="Q637" s="21"/>
      <c r="R637" s="21"/>
      <c r="S637" s="21"/>
      <c r="T637" s="21"/>
    </row>
    <row r="638" ht="30" customHeight="1">
      <c r="A638" t="s" s="15">
        <v>2488</v>
      </c>
      <c r="B638" s="16">
        <v>2021</v>
      </c>
      <c r="C638" t="s" s="15">
        <v>2489</v>
      </c>
      <c r="D638" t="s" s="17">
        <v>2490</v>
      </c>
      <c r="E638" t="s" s="17">
        <v>2491</v>
      </c>
      <c r="F638" s="18"/>
      <c r="G638" s="19">
        <v>2</v>
      </c>
      <c r="H638" t="s" s="20">
        <v>25</v>
      </c>
      <c r="I638" t="s" s="17">
        <v>42</v>
      </c>
      <c r="J638" s="18"/>
      <c r="K638" t="s" s="17">
        <v>43</v>
      </c>
      <c r="L638" t="s" s="17">
        <v>26</v>
      </c>
      <c r="M638" s="18"/>
      <c r="N638" t="s" s="17">
        <v>220</v>
      </c>
      <c r="O638" t="s" s="20">
        <v>2492</v>
      </c>
      <c r="P638" s="21"/>
      <c r="Q638" s="21"/>
      <c r="R638" s="21"/>
      <c r="S638" s="21"/>
      <c r="T638" s="21"/>
    </row>
    <row r="639" ht="13.55" customHeight="1">
      <c r="A639" t="s" s="15">
        <v>2493</v>
      </c>
      <c r="B639" s="16">
        <v>2011</v>
      </c>
      <c r="C639" t="s" s="15">
        <v>2494</v>
      </c>
      <c r="D639" t="s" s="17">
        <v>2495</v>
      </c>
      <c r="E639" t="s" s="17">
        <v>2496</v>
      </c>
      <c r="F639" s="18"/>
      <c r="G639" s="19">
        <v>2</v>
      </c>
      <c r="H639" t="s" s="20">
        <v>25</v>
      </c>
      <c r="I639" t="s" s="17">
        <v>26</v>
      </c>
      <c r="J639" t="s" s="17">
        <v>31</v>
      </c>
      <c r="K639" s="18"/>
      <c r="L639" s="18"/>
      <c r="M639" s="18"/>
      <c r="N639" s="18"/>
      <c r="O639" s="21"/>
      <c r="P639" s="21"/>
      <c r="Q639" s="21"/>
      <c r="R639" s="21"/>
      <c r="S639" s="21"/>
      <c r="T639" s="21"/>
    </row>
    <row r="640" ht="26.55" customHeight="1">
      <c r="A640" t="s" s="15">
        <v>2497</v>
      </c>
      <c r="B640" s="16">
        <v>2019</v>
      </c>
      <c r="C640" t="s" s="15">
        <v>2494</v>
      </c>
      <c r="D640" t="s" s="17">
        <v>2498</v>
      </c>
      <c r="E640" t="s" s="17">
        <v>2499</v>
      </c>
      <c r="F640" s="18"/>
      <c r="G640" s="19">
        <v>2</v>
      </c>
      <c r="H640" t="s" s="20">
        <v>25</v>
      </c>
      <c r="I640" t="s" s="17">
        <v>26</v>
      </c>
      <c r="J640" t="s" s="17">
        <v>31</v>
      </c>
      <c r="K640" s="18"/>
      <c r="L640" s="18"/>
      <c r="M640" s="18"/>
      <c r="N640" s="18"/>
      <c r="O640" s="21"/>
      <c r="P640" s="21"/>
      <c r="Q640" s="21"/>
      <c r="R640" s="21"/>
      <c r="S640" s="21"/>
      <c r="T640" s="21"/>
    </row>
    <row r="641" ht="30" customHeight="1">
      <c r="A641" t="s" s="15">
        <v>2500</v>
      </c>
      <c r="B641" s="16">
        <v>2014</v>
      </c>
      <c r="C641" t="s" s="15">
        <v>2501</v>
      </c>
      <c r="D641" t="s" s="17">
        <v>2502</v>
      </c>
      <c r="E641" t="s" s="17">
        <v>2503</v>
      </c>
      <c r="F641" s="18"/>
      <c r="G641" s="19">
        <v>2</v>
      </c>
      <c r="H641" t="s" s="20">
        <v>25</v>
      </c>
      <c r="I641" t="s" s="17">
        <v>42</v>
      </c>
      <c r="J641" t="s" s="17">
        <v>85</v>
      </c>
      <c r="K641" t="s" s="17">
        <v>2420</v>
      </c>
      <c r="L641" s="18"/>
      <c r="M641" s="18"/>
      <c r="N641" s="18"/>
      <c r="O641" s="21"/>
      <c r="P641" s="21"/>
      <c r="Q641" s="21"/>
      <c r="R641" s="21"/>
      <c r="S641" s="21"/>
      <c r="T641" s="21"/>
    </row>
    <row r="642" ht="45" customHeight="1">
      <c r="A642" t="s" s="15">
        <v>2504</v>
      </c>
      <c r="B642" s="16">
        <v>2019</v>
      </c>
      <c r="C642" t="s" s="15">
        <v>2505</v>
      </c>
      <c r="D642" t="s" s="17">
        <v>2506</v>
      </c>
      <c r="E642" t="s" s="17">
        <v>2507</v>
      </c>
      <c r="F642" s="18"/>
      <c r="G642" s="19">
        <v>2</v>
      </c>
      <c r="H642" t="s" s="20">
        <v>25</v>
      </c>
      <c r="I642" t="s" s="17">
        <v>42</v>
      </c>
      <c r="J642" s="18"/>
      <c r="K642" t="s" s="17">
        <v>43</v>
      </c>
      <c r="L642" t="s" s="17">
        <v>42</v>
      </c>
      <c r="M642" t="s" s="17">
        <v>44</v>
      </c>
      <c r="N642" s="18"/>
      <c r="O642" s="21"/>
      <c r="P642" t="s" s="20">
        <v>25</v>
      </c>
      <c r="Q642" s="21"/>
      <c r="R642" s="21"/>
      <c r="S642" s="21"/>
      <c r="T642" s="21"/>
    </row>
    <row r="643" ht="45" customHeight="1">
      <c r="A643" t="s" s="15">
        <v>2508</v>
      </c>
      <c r="B643" s="16">
        <v>2021</v>
      </c>
      <c r="C643" t="s" s="15">
        <v>2509</v>
      </c>
      <c r="D643" t="s" s="17">
        <v>2510</v>
      </c>
      <c r="E643" t="s" s="17">
        <v>2511</v>
      </c>
      <c r="F643" s="18"/>
      <c r="G643" s="19">
        <v>2</v>
      </c>
      <c r="H643" t="s" s="20">
        <v>25</v>
      </c>
      <c r="I643" t="s" s="17">
        <v>42</v>
      </c>
      <c r="J643" s="18"/>
      <c r="K643" t="s" s="17">
        <v>43</v>
      </c>
      <c r="L643" t="s" s="17">
        <v>26</v>
      </c>
      <c r="M643" s="18"/>
      <c r="N643" t="s" s="17">
        <v>391</v>
      </c>
      <c r="O643" t="s" s="20">
        <v>2512</v>
      </c>
      <c r="P643" s="21"/>
      <c r="Q643" s="21"/>
      <c r="R643" s="21"/>
      <c r="S643" s="21"/>
      <c r="T643" s="21"/>
    </row>
    <row r="644" ht="30" customHeight="1">
      <c r="A644" t="s" s="15">
        <v>2513</v>
      </c>
      <c r="B644" s="16">
        <v>2011</v>
      </c>
      <c r="C644" t="s" s="15">
        <v>2514</v>
      </c>
      <c r="D644" t="s" s="17">
        <v>2515</v>
      </c>
      <c r="E644" t="s" s="17">
        <v>2516</v>
      </c>
      <c r="F644" s="18"/>
      <c r="G644" s="19">
        <v>2</v>
      </c>
      <c r="H644" t="s" s="20">
        <v>25</v>
      </c>
      <c r="I644" t="s" s="17">
        <v>26</v>
      </c>
      <c r="J644" t="s" s="17">
        <v>93</v>
      </c>
      <c r="K644" s="18"/>
      <c r="L644" s="18"/>
      <c r="M644" s="18"/>
      <c r="N644" s="18"/>
      <c r="O644" s="21"/>
      <c r="P644" s="21"/>
      <c r="Q644" s="21"/>
      <c r="R644" s="21"/>
      <c r="S644" s="21"/>
      <c r="T644" s="21"/>
    </row>
    <row r="645" ht="30" customHeight="1">
      <c r="A645" t="s" s="15">
        <v>2517</v>
      </c>
      <c r="B645" s="16">
        <v>2015</v>
      </c>
      <c r="C645" t="s" s="15">
        <v>2518</v>
      </c>
      <c r="D645" t="s" s="17">
        <v>2519</v>
      </c>
      <c r="E645" t="s" s="17">
        <v>2520</v>
      </c>
      <c r="F645" s="18"/>
      <c r="G645" s="19">
        <v>3</v>
      </c>
      <c r="H645" t="s" s="20">
        <v>46</v>
      </c>
      <c r="I645" t="s" s="17">
        <v>26</v>
      </c>
      <c r="J645" t="s" s="17">
        <v>93</v>
      </c>
      <c r="K645" s="18"/>
      <c r="L645" s="18"/>
      <c r="M645" s="18"/>
      <c r="N645" s="18"/>
      <c r="O645" s="21"/>
      <c r="P645" s="21"/>
      <c r="Q645" s="21"/>
      <c r="R645" s="21"/>
      <c r="S645" s="21"/>
      <c r="T645" s="21"/>
    </row>
    <row r="646" ht="30" customHeight="1">
      <c r="A646" t="s" s="15">
        <v>2521</v>
      </c>
      <c r="B646" s="16">
        <v>2015</v>
      </c>
      <c r="C646" t="s" s="15">
        <v>2522</v>
      </c>
      <c r="D646" t="s" s="17">
        <v>2523</v>
      </c>
      <c r="E646" t="s" s="17">
        <v>2524</v>
      </c>
      <c r="F646" s="18"/>
      <c r="G646" s="19">
        <v>2</v>
      </c>
      <c r="H646" t="s" s="20">
        <v>25</v>
      </c>
      <c r="I646" t="s" s="17">
        <v>26</v>
      </c>
      <c r="J646" t="s" s="17">
        <v>102</v>
      </c>
      <c r="K646" s="18"/>
      <c r="L646" s="18"/>
      <c r="M646" s="18"/>
      <c r="N646" s="18"/>
      <c r="O646" s="21"/>
      <c r="P646" s="21"/>
      <c r="Q646" s="21"/>
      <c r="R646" s="21"/>
      <c r="S646" s="21"/>
      <c r="T646" s="21"/>
    </row>
    <row r="647" ht="30" customHeight="1">
      <c r="A647" t="s" s="15">
        <v>2525</v>
      </c>
      <c r="B647" s="16">
        <v>2018</v>
      </c>
      <c r="C647" t="s" s="15">
        <v>2526</v>
      </c>
      <c r="D647" t="s" s="17">
        <v>2527</v>
      </c>
      <c r="E647" t="s" s="17">
        <v>2528</v>
      </c>
      <c r="F647" s="18"/>
      <c r="G647" s="19">
        <v>2</v>
      </c>
      <c r="H647" t="s" s="20">
        <v>25</v>
      </c>
      <c r="I647" t="s" s="17">
        <v>26</v>
      </c>
      <c r="J647" t="s" s="17">
        <v>31</v>
      </c>
      <c r="K647" t="s" s="17">
        <v>2398</v>
      </c>
      <c r="L647" s="18"/>
      <c r="M647" s="18"/>
      <c r="N647" s="18"/>
      <c r="O647" s="21"/>
      <c r="P647" s="21"/>
      <c r="Q647" s="21"/>
      <c r="R647" s="21"/>
      <c r="S647" s="21"/>
      <c r="T647" s="21"/>
    </row>
    <row r="648" ht="26.55" customHeight="1">
      <c r="A648" t="s" s="15">
        <v>2529</v>
      </c>
      <c r="B648" s="16">
        <v>2008</v>
      </c>
      <c r="C648" t="s" s="15">
        <v>2530</v>
      </c>
      <c r="D648" t="s" s="17">
        <v>2531</v>
      </c>
      <c r="E648" t="s" s="17">
        <v>2532</v>
      </c>
      <c r="F648" s="18"/>
      <c r="G648" s="19">
        <v>3</v>
      </c>
      <c r="H648" t="s" s="20">
        <v>46</v>
      </c>
      <c r="I648" t="s" s="17">
        <v>26</v>
      </c>
      <c r="J648" t="s" s="17">
        <v>1609</v>
      </c>
      <c r="K648" t="s" s="17">
        <v>2398</v>
      </c>
      <c r="L648" s="18"/>
      <c r="M648" s="18"/>
      <c r="N648" s="18"/>
      <c r="O648" s="21"/>
      <c r="P648" s="21"/>
      <c r="Q648" s="21"/>
      <c r="R648" s="21"/>
      <c r="S648" s="21"/>
      <c r="T648" s="21"/>
    </row>
    <row r="649" ht="30" customHeight="1">
      <c r="A649" t="s" s="15">
        <v>2533</v>
      </c>
      <c r="B649" s="16">
        <v>2016</v>
      </c>
      <c r="C649" t="s" s="15">
        <v>2530</v>
      </c>
      <c r="D649" t="s" s="17">
        <v>2534</v>
      </c>
      <c r="E649" t="s" s="17">
        <v>2535</v>
      </c>
      <c r="F649" s="18"/>
      <c r="G649" s="19">
        <v>2</v>
      </c>
      <c r="H649" t="s" s="20">
        <v>25</v>
      </c>
      <c r="I649" t="s" s="17">
        <v>42</v>
      </c>
      <c r="J649" s="18"/>
      <c r="K649" t="s" s="17">
        <v>43</v>
      </c>
      <c r="L649" t="s" s="17">
        <v>42</v>
      </c>
      <c r="M649" t="s" s="17">
        <v>212</v>
      </c>
      <c r="N649" s="18"/>
      <c r="O649" t="s" s="20">
        <v>2536</v>
      </c>
      <c r="P649" t="s" s="20">
        <v>25</v>
      </c>
      <c r="Q649" s="21"/>
      <c r="R649" s="21"/>
      <c r="S649" s="21"/>
      <c r="T649" s="21"/>
    </row>
    <row r="650" ht="30" customHeight="1">
      <c r="A650" t="s" s="15">
        <v>2537</v>
      </c>
      <c r="B650" s="16">
        <v>2022</v>
      </c>
      <c r="C650" t="s" s="15">
        <v>2538</v>
      </c>
      <c r="D650" t="s" s="17">
        <v>2539</v>
      </c>
      <c r="E650" t="s" s="17">
        <v>2540</v>
      </c>
      <c r="F650" s="18"/>
      <c r="G650" s="19">
        <v>3</v>
      </c>
      <c r="H650" t="s" s="20">
        <v>46</v>
      </c>
      <c r="I650" t="s" s="17">
        <v>26</v>
      </c>
      <c r="J650" t="s" s="17">
        <v>31</v>
      </c>
      <c r="K650" s="18"/>
      <c r="L650" s="18"/>
      <c r="M650" s="18"/>
      <c r="N650" s="18"/>
      <c r="O650" s="21"/>
      <c r="P650" s="21"/>
      <c r="Q650" s="21"/>
      <c r="R650" s="21"/>
      <c r="S650" s="21"/>
      <c r="T650" s="21"/>
    </row>
    <row r="651" ht="39.55" customHeight="1">
      <c r="A651" t="s" s="15">
        <v>2541</v>
      </c>
      <c r="B651" s="16">
        <v>2009</v>
      </c>
      <c r="C651" t="s" s="15">
        <v>2542</v>
      </c>
      <c r="D651" t="s" s="17">
        <v>2543</v>
      </c>
      <c r="E651" t="s" s="17">
        <v>2544</v>
      </c>
      <c r="F651" s="18"/>
      <c r="G651" s="19">
        <v>3</v>
      </c>
      <c r="H651" t="s" s="20">
        <v>25</v>
      </c>
      <c r="I651" t="s" s="17">
        <v>26</v>
      </c>
      <c r="J651" t="s" s="17">
        <v>31</v>
      </c>
      <c r="K651" t="s" s="17">
        <v>32</v>
      </c>
      <c r="L651" s="18"/>
      <c r="M651" s="18"/>
      <c r="N651" s="18"/>
      <c r="O651" s="21"/>
      <c r="P651" s="21"/>
      <c r="Q651" s="21"/>
      <c r="R651" s="21"/>
      <c r="S651" s="21"/>
      <c r="T651" s="21"/>
    </row>
    <row r="652" ht="30" customHeight="1">
      <c r="A652" t="s" s="15">
        <v>2545</v>
      </c>
      <c r="B652" s="16">
        <v>2014</v>
      </c>
      <c r="C652" t="s" s="15">
        <v>2546</v>
      </c>
      <c r="D652" t="s" s="17">
        <v>2547</v>
      </c>
      <c r="E652" t="s" s="17">
        <v>2548</v>
      </c>
      <c r="F652" s="18"/>
      <c r="G652" s="19">
        <v>3</v>
      </c>
      <c r="H652" t="s" s="20">
        <v>46</v>
      </c>
      <c r="I652" t="s" s="17">
        <v>26</v>
      </c>
      <c r="J652" t="s" s="17">
        <v>27</v>
      </c>
      <c r="K652" s="18"/>
      <c r="L652" s="18"/>
      <c r="M652" s="18"/>
      <c r="N652" s="18"/>
      <c r="O652" s="21"/>
      <c r="P652" s="21"/>
      <c r="Q652" s="21"/>
      <c r="R652" s="21"/>
      <c r="S652" s="21"/>
      <c r="T652" s="21"/>
    </row>
    <row r="653" ht="39.55" customHeight="1">
      <c r="A653" t="s" s="15">
        <v>2549</v>
      </c>
      <c r="B653" s="16">
        <v>2021</v>
      </c>
      <c r="C653" t="s" s="15">
        <v>2550</v>
      </c>
      <c r="D653" t="s" s="17">
        <v>2551</v>
      </c>
      <c r="E653" t="s" s="17">
        <v>2552</v>
      </c>
      <c r="F653" s="18"/>
      <c r="G653" s="19">
        <v>3</v>
      </c>
      <c r="H653" t="s" s="20">
        <v>46</v>
      </c>
      <c r="I653" t="s" s="17">
        <v>26</v>
      </c>
      <c r="J653" t="s" s="17">
        <v>93</v>
      </c>
      <c r="K653" s="18"/>
      <c r="L653" s="18"/>
      <c r="M653" s="18"/>
      <c r="N653" s="18"/>
      <c r="O653" s="21"/>
      <c r="P653" s="21"/>
      <c r="Q653" s="21"/>
      <c r="R653" s="21"/>
      <c r="S653" s="21"/>
      <c r="T653" s="21"/>
    </row>
    <row r="654" ht="39.55" customHeight="1">
      <c r="A654" t="s" s="15">
        <v>2553</v>
      </c>
      <c r="B654" s="16">
        <v>2021</v>
      </c>
      <c r="C654" t="s" s="15">
        <v>2550</v>
      </c>
      <c r="D654" t="s" s="17">
        <v>2551</v>
      </c>
      <c r="E654" t="s" s="17">
        <v>2554</v>
      </c>
      <c r="F654" s="18"/>
      <c r="G654" s="19">
        <v>3</v>
      </c>
      <c r="H654" t="s" s="20">
        <v>46</v>
      </c>
      <c r="I654" t="s" s="17">
        <v>26</v>
      </c>
      <c r="J654" t="s" s="17">
        <v>93</v>
      </c>
      <c r="K654" s="18"/>
      <c r="L654" s="18"/>
      <c r="M654" s="18"/>
      <c r="N654" s="18"/>
      <c r="O654" s="21"/>
      <c r="P654" s="21"/>
      <c r="Q654" s="21"/>
      <c r="R654" s="21"/>
      <c r="S654" s="21"/>
      <c r="T654" s="21"/>
    </row>
    <row r="655" ht="39.55" customHeight="1">
      <c r="A655" t="s" s="15">
        <v>2555</v>
      </c>
      <c r="B655" s="16">
        <v>2022</v>
      </c>
      <c r="C655" t="s" s="15">
        <v>2550</v>
      </c>
      <c r="D655" t="s" s="17">
        <v>2556</v>
      </c>
      <c r="E655" t="s" s="17">
        <v>2557</v>
      </c>
      <c r="F655" s="18"/>
      <c r="G655" s="19">
        <v>3</v>
      </c>
      <c r="H655" t="s" s="20">
        <v>46</v>
      </c>
      <c r="I655" t="s" s="17">
        <v>26</v>
      </c>
      <c r="J655" t="s" s="17">
        <v>93</v>
      </c>
      <c r="K655" s="18"/>
      <c r="L655" s="18"/>
      <c r="M655" s="18"/>
      <c r="N655" s="18"/>
      <c r="O655" s="21"/>
      <c r="P655" s="21"/>
      <c r="Q655" s="21"/>
      <c r="R655" s="21"/>
      <c r="S655" s="21"/>
      <c r="T655" s="21"/>
    </row>
    <row r="656" ht="45" customHeight="1">
      <c r="A656" t="s" s="15">
        <v>2558</v>
      </c>
      <c r="B656" s="16">
        <v>2014</v>
      </c>
      <c r="C656" t="s" s="15">
        <v>2559</v>
      </c>
      <c r="D656" t="s" s="17">
        <v>2560</v>
      </c>
      <c r="E656" t="s" s="17">
        <v>2561</v>
      </c>
      <c r="F656" s="18"/>
      <c r="G656" s="19">
        <v>3</v>
      </c>
      <c r="H656" t="s" s="20">
        <v>46</v>
      </c>
      <c r="I656" t="s" s="17">
        <v>26</v>
      </c>
      <c r="J656" t="s" s="17">
        <v>93</v>
      </c>
      <c r="K656" s="18"/>
      <c r="L656" s="18"/>
      <c r="M656" s="18"/>
      <c r="N656" s="18"/>
      <c r="O656" s="21"/>
      <c r="P656" s="21"/>
      <c r="Q656" s="21"/>
      <c r="R656" s="21"/>
      <c r="S656" s="21"/>
      <c r="T656" s="21"/>
    </row>
    <row r="657" ht="30" customHeight="1">
      <c r="A657" t="s" s="15">
        <v>2562</v>
      </c>
      <c r="B657" s="16">
        <v>2005</v>
      </c>
      <c r="C657" t="s" s="15">
        <v>2563</v>
      </c>
      <c r="D657" t="s" s="17">
        <v>2564</v>
      </c>
      <c r="E657" s="18"/>
      <c r="F657" s="18"/>
      <c r="G657" s="19">
        <v>2</v>
      </c>
      <c r="H657" t="s" s="20">
        <v>25</v>
      </c>
      <c r="I657" t="s" s="17">
        <v>26</v>
      </c>
      <c r="J657" t="s" s="17">
        <v>31</v>
      </c>
      <c r="K657" t="s" s="17">
        <v>86</v>
      </c>
      <c r="L657" s="18"/>
      <c r="M657" s="18"/>
      <c r="N657" s="18"/>
      <c r="O657" s="21"/>
      <c r="P657" s="21"/>
      <c r="Q657" s="21"/>
      <c r="R657" s="21"/>
      <c r="S657" s="21"/>
      <c r="T657" s="21"/>
    </row>
    <row r="658" ht="13.55" customHeight="1">
      <c r="A658" t="s" s="15">
        <v>2565</v>
      </c>
      <c r="B658" s="16">
        <v>2021</v>
      </c>
      <c r="C658" t="s" s="15">
        <v>2566</v>
      </c>
      <c r="D658" t="s" s="17">
        <v>2567</v>
      </c>
      <c r="E658" t="s" s="17">
        <v>2568</v>
      </c>
      <c r="F658" s="18"/>
      <c r="G658" s="19">
        <v>2</v>
      </c>
      <c r="H658" t="s" s="20">
        <v>25</v>
      </c>
      <c r="I658" t="s" s="17">
        <v>26</v>
      </c>
      <c r="J658" t="s" s="17">
        <v>31</v>
      </c>
      <c r="K658" t="s" s="17">
        <v>467</v>
      </c>
      <c r="L658" s="18"/>
      <c r="M658" s="18"/>
      <c r="N658" s="18"/>
      <c r="O658" s="21"/>
      <c r="P658" s="21"/>
      <c r="Q658" s="21"/>
      <c r="R658" s="21"/>
      <c r="S658" s="21"/>
      <c r="T658" s="21"/>
    </row>
    <row r="659" ht="39.55" customHeight="1">
      <c r="A659" t="s" s="15">
        <v>2569</v>
      </c>
      <c r="B659" s="16">
        <v>2012</v>
      </c>
      <c r="C659" t="s" s="15">
        <v>2570</v>
      </c>
      <c r="D659" t="s" s="17">
        <v>2571</v>
      </c>
      <c r="E659" t="s" s="17">
        <v>2572</v>
      </c>
      <c r="F659" s="18"/>
      <c r="G659" s="19">
        <v>2</v>
      </c>
      <c r="H659" t="s" s="20">
        <v>25</v>
      </c>
      <c r="I659" t="s" s="17">
        <v>26</v>
      </c>
      <c r="J659" t="s" s="17">
        <v>27</v>
      </c>
      <c r="K659" s="18"/>
      <c r="L659" s="18"/>
      <c r="M659" s="18"/>
      <c r="N659" s="18"/>
      <c r="O659" s="21"/>
      <c r="P659" s="21"/>
      <c r="Q659" s="21"/>
      <c r="R659" s="21"/>
      <c r="S659" s="21"/>
      <c r="T659" s="21"/>
    </row>
    <row r="660" ht="30" customHeight="1">
      <c r="A660" t="s" s="15">
        <v>2573</v>
      </c>
      <c r="B660" s="16">
        <v>2018</v>
      </c>
      <c r="C660" t="s" s="15">
        <v>2574</v>
      </c>
      <c r="D660" t="s" s="17">
        <v>2575</v>
      </c>
      <c r="E660" t="s" s="17">
        <v>2576</v>
      </c>
      <c r="F660" s="18"/>
      <c r="G660" s="19">
        <v>3</v>
      </c>
      <c r="H660" t="s" s="20">
        <v>46</v>
      </c>
      <c r="I660" t="s" s="17">
        <v>26</v>
      </c>
      <c r="J660" t="s" s="17">
        <v>93</v>
      </c>
      <c r="K660" s="18"/>
      <c r="L660" s="18"/>
      <c r="M660" s="18"/>
      <c r="N660" s="18"/>
      <c r="O660" s="21"/>
      <c r="P660" s="21"/>
      <c r="Q660" s="21"/>
      <c r="R660" s="21"/>
      <c r="S660" s="21"/>
      <c r="T660" s="21"/>
    </row>
    <row r="661" ht="30" customHeight="1">
      <c r="A661" t="s" s="15">
        <v>2577</v>
      </c>
      <c r="B661" s="16">
        <v>2019</v>
      </c>
      <c r="C661" t="s" s="15">
        <v>2578</v>
      </c>
      <c r="D661" t="s" s="17">
        <v>2579</v>
      </c>
      <c r="E661" t="s" s="17">
        <v>2580</v>
      </c>
      <c r="F661" s="18"/>
      <c r="G661" s="19">
        <v>3</v>
      </c>
      <c r="H661" t="s" s="20">
        <v>46</v>
      </c>
      <c r="I661" t="s" s="17">
        <v>26</v>
      </c>
      <c r="J661" t="s" s="17">
        <v>93</v>
      </c>
      <c r="K661" t="s" s="17">
        <v>2581</v>
      </c>
      <c r="L661" s="18"/>
      <c r="M661" s="18"/>
      <c r="N661" s="18"/>
      <c r="O661" s="21"/>
      <c r="P661" s="21"/>
      <c r="Q661" s="21"/>
      <c r="R661" s="21"/>
      <c r="S661" s="21"/>
      <c r="T661" s="21"/>
    </row>
    <row r="662" ht="39.55" customHeight="1">
      <c r="A662" t="s" s="15">
        <v>2582</v>
      </c>
      <c r="B662" s="16">
        <v>2011</v>
      </c>
      <c r="C662" t="s" s="15">
        <v>2583</v>
      </c>
      <c r="D662" t="s" s="17">
        <v>2584</v>
      </c>
      <c r="E662" t="s" s="17">
        <v>2585</v>
      </c>
      <c r="F662" s="18"/>
      <c r="G662" s="19">
        <v>3</v>
      </c>
      <c r="H662" t="s" s="20">
        <v>46</v>
      </c>
      <c r="I662" t="s" s="17">
        <v>26</v>
      </c>
      <c r="J662" t="s" s="17">
        <v>187</v>
      </c>
      <c r="K662" s="18"/>
      <c r="L662" s="18"/>
      <c r="M662" s="18"/>
      <c r="N662" s="18"/>
      <c r="O662" s="21"/>
      <c r="P662" s="21"/>
      <c r="Q662" s="21"/>
      <c r="R662" s="21"/>
      <c r="S662" s="21"/>
      <c r="T662" s="21"/>
    </row>
    <row r="663" ht="30" customHeight="1">
      <c r="A663" t="s" s="15">
        <v>2586</v>
      </c>
      <c r="B663" s="16">
        <v>2023</v>
      </c>
      <c r="C663" t="s" s="15">
        <v>2587</v>
      </c>
      <c r="D663" t="s" s="17">
        <v>2588</v>
      </c>
      <c r="E663" t="s" s="17">
        <v>2589</v>
      </c>
      <c r="F663" s="18"/>
      <c r="G663" s="19">
        <v>2</v>
      </c>
      <c r="H663" t="s" s="20">
        <v>25</v>
      </c>
      <c r="I663" t="s" s="17">
        <v>42</v>
      </c>
      <c r="J663" s="18"/>
      <c r="K663" t="s" s="17">
        <v>43</v>
      </c>
      <c r="L663" t="s" s="17">
        <v>26</v>
      </c>
      <c r="M663" s="18"/>
      <c r="N663" t="s" s="17">
        <v>2590</v>
      </c>
      <c r="O663" t="s" s="20">
        <v>2591</v>
      </c>
      <c r="P663" s="21"/>
      <c r="Q663" s="21"/>
      <c r="R663" s="21"/>
      <c r="S663" s="21"/>
      <c r="T663" s="21"/>
    </row>
    <row r="664" ht="30" customHeight="1">
      <c r="A664" t="s" s="15">
        <v>2592</v>
      </c>
      <c r="B664" s="16">
        <v>2008</v>
      </c>
      <c r="C664" t="s" s="15">
        <v>2593</v>
      </c>
      <c r="D664" t="s" s="17">
        <v>2594</v>
      </c>
      <c r="E664" t="s" s="17">
        <v>2595</v>
      </c>
      <c r="F664" s="18"/>
      <c r="G664" s="19">
        <v>3</v>
      </c>
      <c r="H664" t="s" s="20">
        <v>46</v>
      </c>
      <c r="I664" t="s" s="17">
        <v>26</v>
      </c>
      <c r="J664" t="s" s="17">
        <v>31</v>
      </c>
      <c r="K664" t="s" s="17">
        <v>262</v>
      </c>
      <c r="L664" s="18"/>
      <c r="M664" s="18"/>
      <c r="N664" s="18"/>
      <c r="O664" s="21"/>
      <c r="P664" s="21"/>
      <c r="Q664" s="21"/>
      <c r="R664" s="21"/>
      <c r="S664" s="21"/>
      <c r="T664" s="21"/>
    </row>
    <row r="665" ht="30" customHeight="1">
      <c r="A665" t="s" s="15">
        <v>2596</v>
      </c>
      <c r="B665" s="16">
        <v>2018</v>
      </c>
      <c r="C665" t="s" s="15">
        <v>2597</v>
      </c>
      <c r="D665" t="s" s="17">
        <v>2598</v>
      </c>
      <c r="E665" t="s" s="17">
        <v>2599</v>
      </c>
      <c r="F665" s="18"/>
      <c r="G665" s="19">
        <v>2</v>
      </c>
      <c r="H665" t="s" s="20">
        <v>25</v>
      </c>
      <c r="I665" t="s" s="17">
        <v>42</v>
      </c>
      <c r="J665" s="18"/>
      <c r="K665" t="s" s="17">
        <v>43</v>
      </c>
      <c r="L665" t="s" s="17">
        <v>42</v>
      </c>
      <c r="M665" t="s" s="17">
        <v>505</v>
      </c>
      <c r="N665" s="18"/>
      <c r="O665" s="21"/>
      <c r="P665" t="s" s="20">
        <v>25</v>
      </c>
      <c r="Q665" s="21"/>
      <c r="R665" s="21"/>
      <c r="S665" s="21"/>
      <c r="T665" s="21"/>
    </row>
    <row r="666" ht="30" customHeight="1">
      <c r="A666" t="s" s="15">
        <v>2600</v>
      </c>
      <c r="B666" s="16">
        <v>2021</v>
      </c>
      <c r="C666" t="s" s="15">
        <v>2597</v>
      </c>
      <c r="D666" t="s" s="17">
        <v>2601</v>
      </c>
      <c r="E666" t="s" s="17">
        <v>2602</v>
      </c>
      <c r="F666" s="18"/>
      <c r="G666" s="19">
        <v>2</v>
      </c>
      <c r="H666" t="s" s="20">
        <v>25</v>
      </c>
      <c r="I666" t="s" s="17">
        <v>26</v>
      </c>
      <c r="J666" t="s" s="17">
        <v>2603</v>
      </c>
      <c r="K666" s="18"/>
      <c r="L666" s="18"/>
      <c r="M666" s="18"/>
      <c r="N666" s="18"/>
      <c r="O666" s="21"/>
      <c r="P666" s="21"/>
      <c r="Q666" s="21"/>
      <c r="R666" s="21"/>
      <c r="S666" s="21"/>
      <c r="T666" s="21"/>
    </row>
    <row r="667" ht="39.55" customHeight="1">
      <c r="A667" t="s" s="15">
        <v>2604</v>
      </c>
      <c r="B667" s="16">
        <v>2022</v>
      </c>
      <c r="C667" t="s" s="15">
        <v>2597</v>
      </c>
      <c r="D667" t="s" s="17">
        <v>2605</v>
      </c>
      <c r="E667" t="s" s="17">
        <v>2606</v>
      </c>
      <c r="F667" s="18"/>
      <c r="G667" s="19">
        <v>2</v>
      </c>
      <c r="H667" t="s" s="20">
        <v>25</v>
      </c>
      <c r="I667" t="s" s="17">
        <v>26</v>
      </c>
      <c r="J667" t="s" s="17">
        <v>31</v>
      </c>
      <c r="K667" t="s" s="17">
        <v>86</v>
      </c>
      <c r="L667" s="18"/>
      <c r="M667" s="18"/>
      <c r="N667" s="18"/>
      <c r="O667" s="21"/>
      <c r="P667" s="21"/>
      <c r="Q667" s="21"/>
      <c r="R667" s="21"/>
      <c r="S667" s="21"/>
      <c r="T667" s="21"/>
    </row>
    <row r="668" ht="39.55" customHeight="1">
      <c r="A668" t="s" s="15">
        <v>2607</v>
      </c>
      <c r="B668" s="16">
        <v>2014</v>
      </c>
      <c r="C668" t="s" s="15">
        <v>2608</v>
      </c>
      <c r="D668" t="s" s="17">
        <v>2609</v>
      </c>
      <c r="E668" s="18"/>
      <c r="F668" s="18"/>
      <c r="G668" s="19">
        <v>2</v>
      </c>
      <c r="H668" t="s" s="20">
        <v>25</v>
      </c>
      <c r="I668" t="s" s="17">
        <v>26</v>
      </c>
      <c r="J668" t="s" s="17">
        <v>27</v>
      </c>
      <c r="K668" s="18"/>
      <c r="L668" s="18"/>
      <c r="M668" s="18"/>
      <c r="N668" s="18"/>
      <c r="O668" s="21"/>
      <c r="P668" s="21"/>
      <c r="Q668" s="21"/>
      <c r="R668" s="21"/>
      <c r="S668" s="21"/>
      <c r="T668" s="21"/>
    </row>
    <row r="669" ht="30" customHeight="1">
      <c r="A669" t="s" s="15">
        <v>2610</v>
      </c>
      <c r="B669" s="16">
        <v>2021</v>
      </c>
      <c r="C669" t="s" s="15">
        <v>2611</v>
      </c>
      <c r="D669" t="s" s="17">
        <v>2612</v>
      </c>
      <c r="E669" t="s" s="17">
        <v>2613</v>
      </c>
      <c r="F669" s="18"/>
      <c r="G669" s="19">
        <v>3</v>
      </c>
      <c r="H669" t="s" s="20">
        <v>46</v>
      </c>
      <c r="I669" t="s" s="17">
        <v>26</v>
      </c>
      <c r="J669" t="s" s="17">
        <v>102</v>
      </c>
      <c r="K669" t="s" s="17">
        <v>245</v>
      </c>
      <c r="L669" s="18"/>
      <c r="M669" s="18"/>
      <c r="N669" s="18"/>
      <c r="O669" s="21"/>
      <c r="P669" s="21"/>
      <c r="Q669" s="21"/>
      <c r="R669" s="21"/>
      <c r="S669" s="21"/>
      <c r="T669" s="21"/>
    </row>
    <row r="670" ht="13.55" customHeight="1">
      <c r="A670" t="s" s="15">
        <v>2614</v>
      </c>
      <c r="B670" s="16">
        <v>2005</v>
      </c>
      <c r="C670" t="s" s="15">
        <v>2615</v>
      </c>
      <c r="D670" t="s" s="17">
        <v>2616</v>
      </c>
      <c r="E670" s="18"/>
      <c r="F670" s="18"/>
      <c r="G670" s="19">
        <v>3</v>
      </c>
      <c r="H670" t="s" s="20">
        <v>25</v>
      </c>
      <c r="I670" t="s" s="17">
        <v>26</v>
      </c>
      <c r="J670" t="s" s="17">
        <v>31</v>
      </c>
      <c r="K670" t="s" s="17">
        <v>86</v>
      </c>
      <c r="L670" s="18"/>
      <c r="M670" s="18"/>
      <c r="N670" s="18"/>
      <c r="O670" s="21"/>
      <c r="P670" s="21"/>
      <c r="Q670" s="21"/>
      <c r="R670" s="21"/>
      <c r="S670" s="21"/>
      <c r="T670" s="21"/>
    </row>
    <row r="671" ht="30" customHeight="1">
      <c r="A671" t="s" s="15">
        <v>2617</v>
      </c>
      <c r="B671" s="16">
        <v>2013</v>
      </c>
      <c r="C671" t="s" s="15">
        <v>2618</v>
      </c>
      <c r="D671" t="s" s="17">
        <v>2619</v>
      </c>
      <c r="E671" t="s" s="17">
        <v>2620</v>
      </c>
      <c r="F671" s="18"/>
      <c r="G671" s="19">
        <v>3</v>
      </c>
      <c r="H671" t="s" s="20">
        <v>46</v>
      </c>
      <c r="I671" t="s" s="17">
        <v>26</v>
      </c>
      <c r="J671" t="s" s="17">
        <v>131</v>
      </c>
      <c r="K671" s="18"/>
      <c r="L671" s="18"/>
      <c r="M671" s="18"/>
      <c r="N671" s="18"/>
      <c r="O671" s="21"/>
      <c r="P671" s="21"/>
      <c r="Q671" s="21"/>
      <c r="R671" s="21"/>
      <c r="S671" s="21"/>
      <c r="T671" s="21"/>
    </row>
    <row r="672" ht="30" customHeight="1">
      <c r="A672" t="s" s="15">
        <v>2621</v>
      </c>
      <c r="B672" s="16">
        <v>2014</v>
      </c>
      <c r="C672" t="s" s="15">
        <v>2618</v>
      </c>
      <c r="D672" t="s" s="17">
        <v>2622</v>
      </c>
      <c r="E672" t="s" s="17">
        <v>2623</v>
      </c>
      <c r="F672" s="18"/>
      <c r="G672" s="19">
        <v>3</v>
      </c>
      <c r="H672" t="s" s="20">
        <v>46</v>
      </c>
      <c r="I672" t="s" s="17">
        <v>42</v>
      </c>
      <c r="J672" s="18"/>
      <c r="K672" t="s" s="17">
        <v>43</v>
      </c>
      <c r="L672" t="s" s="17">
        <v>42</v>
      </c>
      <c r="M672" t="s" s="17">
        <v>2624</v>
      </c>
      <c r="N672" s="18"/>
      <c r="O672" s="21"/>
      <c r="P672" t="s" s="20">
        <v>25</v>
      </c>
      <c r="Q672" s="21"/>
      <c r="R672" s="21"/>
      <c r="S672" s="21"/>
      <c r="T672" s="21"/>
    </row>
    <row r="673" ht="30" customHeight="1">
      <c r="A673" t="s" s="15">
        <v>2625</v>
      </c>
      <c r="B673" t="s" s="15">
        <v>2626</v>
      </c>
      <c r="C673" t="s" s="15">
        <v>2618</v>
      </c>
      <c r="D673" t="s" s="17">
        <v>2627</v>
      </c>
      <c r="E673" t="s" s="17">
        <v>2628</v>
      </c>
      <c r="F673" t="s" s="17">
        <v>2629</v>
      </c>
      <c r="G673" s="19">
        <v>3</v>
      </c>
      <c r="H673" t="s" s="20">
        <v>46</v>
      </c>
      <c r="I673" t="s" s="17">
        <v>42</v>
      </c>
      <c r="J673" s="18"/>
      <c r="K673" t="s" s="17">
        <v>1566</v>
      </c>
      <c r="L673" t="s" s="17">
        <v>26</v>
      </c>
      <c r="M673" s="18"/>
      <c r="N673" t="s" s="17">
        <v>151</v>
      </c>
      <c r="O673" t="s" s="20">
        <v>2630</v>
      </c>
      <c r="P673" s="21"/>
      <c r="Q673" s="21"/>
      <c r="R673" s="21"/>
      <c r="S673" s="21"/>
      <c r="T673" s="21"/>
    </row>
    <row r="674" ht="30" customHeight="1">
      <c r="A674" t="s" s="15">
        <v>2631</v>
      </c>
      <c r="B674" s="16">
        <v>2015</v>
      </c>
      <c r="C674" t="s" s="15">
        <v>2618</v>
      </c>
      <c r="D674" t="s" s="17">
        <v>2632</v>
      </c>
      <c r="E674" t="s" s="17">
        <v>2633</v>
      </c>
      <c r="F674" t="s" s="17">
        <v>2634</v>
      </c>
      <c r="G674" s="19">
        <v>3</v>
      </c>
      <c r="H674" t="s" s="20">
        <v>46</v>
      </c>
      <c r="I674" t="s" s="17">
        <v>42</v>
      </c>
      <c r="J674" s="18"/>
      <c r="K674" t="s" s="17">
        <v>43</v>
      </c>
      <c r="L674" t="s" s="17">
        <v>42</v>
      </c>
      <c r="M674" t="s" s="17">
        <v>44</v>
      </c>
      <c r="N674" s="18"/>
      <c r="O674" t="s" s="20">
        <v>2635</v>
      </c>
      <c r="P674" t="s" s="20">
        <v>25</v>
      </c>
      <c r="Q674" s="21"/>
      <c r="R674" s="21"/>
      <c r="S674" s="21"/>
      <c r="T674" s="21"/>
    </row>
    <row r="675" ht="30" customHeight="1">
      <c r="A675" t="s" s="15">
        <v>2636</v>
      </c>
      <c r="B675" t="s" s="15">
        <v>2637</v>
      </c>
      <c r="C675" t="s" s="15">
        <v>2618</v>
      </c>
      <c r="D675" t="s" s="17">
        <v>2638</v>
      </c>
      <c r="E675" t="s" s="17">
        <v>2639</v>
      </c>
      <c r="F675" t="s" s="17">
        <v>2640</v>
      </c>
      <c r="G675" s="19">
        <v>3</v>
      </c>
      <c r="H675" t="s" s="20">
        <v>46</v>
      </c>
      <c r="I675" t="s" s="17">
        <v>42</v>
      </c>
      <c r="J675" s="18"/>
      <c r="K675" t="s" s="17">
        <v>1566</v>
      </c>
      <c r="L675" t="s" s="17">
        <v>42</v>
      </c>
      <c r="M675" t="s" s="17">
        <v>44</v>
      </c>
      <c r="N675" s="18"/>
      <c r="O675" s="21"/>
      <c r="P675" t="s" s="20">
        <v>25</v>
      </c>
      <c r="Q675" s="21"/>
      <c r="R675" s="21"/>
      <c r="S675" s="21"/>
      <c r="T675" s="21"/>
    </row>
    <row r="676" ht="39.55" customHeight="1">
      <c r="A676" t="s" s="15">
        <v>2641</v>
      </c>
      <c r="B676" s="16">
        <v>2006</v>
      </c>
      <c r="C676" t="s" s="15">
        <v>2642</v>
      </c>
      <c r="D676" t="s" s="17">
        <v>2643</v>
      </c>
      <c r="E676" t="s" s="17">
        <v>2644</v>
      </c>
      <c r="F676" s="18"/>
      <c r="G676" s="19">
        <v>3</v>
      </c>
      <c r="H676" t="s" s="20">
        <v>46</v>
      </c>
      <c r="I676" t="s" s="17">
        <v>26</v>
      </c>
      <c r="J676" t="s" s="17">
        <v>31</v>
      </c>
      <c r="K676" t="s" s="17">
        <v>306</v>
      </c>
      <c r="L676" s="18"/>
      <c r="M676" s="18"/>
      <c r="N676" s="18"/>
      <c r="O676" s="21"/>
      <c r="P676" s="21"/>
      <c r="Q676" s="21"/>
      <c r="R676" s="21"/>
      <c r="S676" s="21"/>
      <c r="T676" s="21"/>
    </row>
    <row r="677" ht="30" customHeight="1">
      <c r="A677" t="s" s="15">
        <v>2645</v>
      </c>
      <c r="B677" s="16">
        <v>2016</v>
      </c>
      <c r="C677" t="s" s="15">
        <v>2642</v>
      </c>
      <c r="D677" t="s" s="17">
        <v>2646</v>
      </c>
      <c r="E677" t="s" s="17">
        <v>2647</v>
      </c>
      <c r="F677" s="18"/>
      <c r="G677" s="19">
        <v>2</v>
      </c>
      <c r="H677" t="s" s="20">
        <v>25</v>
      </c>
      <c r="I677" t="s" s="17">
        <v>26</v>
      </c>
      <c r="J677" t="s" s="17">
        <v>660</v>
      </c>
      <c r="K677" t="s" s="17">
        <v>661</v>
      </c>
      <c r="L677" s="18"/>
      <c r="M677" s="18"/>
      <c r="N677" s="18"/>
      <c r="O677" s="21"/>
      <c r="P677" s="21"/>
      <c r="Q677" s="21"/>
      <c r="R677" s="21"/>
      <c r="S677" s="21"/>
      <c r="T677" s="21"/>
    </row>
    <row r="678" ht="30" customHeight="1">
      <c r="A678" t="s" s="15">
        <v>2648</v>
      </c>
      <c r="B678" s="16">
        <v>2010</v>
      </c>
      <c r="C678" t="s" s="15">
        <v>2649</v>
      </c>
      <c r="D678" t="s" s="17">
        <v>2650</v>
      </c>
      <c r="E678" t="s" s="17">
        <v>2651</v>
      </c>
      <c r="F678" s="18"/>
      <c r="G678" s="19">
        <v>2</v>
      </c>
      <c r="H678" t="s" s="20">
        <v>25</v>
      </c>
      <c r="I678" t="s" s="17">
        <v>26</v>
      </c>
      <c r="J678" t="s" s="17">
        <v>31</v>
      </c>
      <c r="K678" s="18"/>
      <c r="L678" s="18"/>
      <c r="M678" s="18"/>
      <c r="N678" s="18"/>
      <c r="O678" s="21"/>
      <c r="P678" s="21"/>
      <c r="Q678" s="21"/>
      <c r="R678" s="21"/>
      <c r="S678" s="21"/>
      <c r="T678" s="21"/>
    </row>
    <row r="679" ht="26.55" customHeight="1">
      <c r="A679" t="s" s="15">
        <v>2652</v>
      </c>
      <c r="B679" s="16">
        <v>2018</v>
      </c>
      <c r="C679" t="s" s="15">
        <v>2653</v>
      </c>
      <c r="D679" t="s" s="17">
        <v>2654</v>
      </c>
      <c r="E679" s="18"/>
      <c r="F679" s="18"/>
      <c r="G679" s="19">
        <v>3</v>
      </c>
      <c r="H679" t="s" s="20">
        <v>25</v>
      </c>
      <c r="I679" t="s" s="17">
        <v>26</v>
      </c>
      <c r="J679" t="s" s="17">
        <v>405</v>
      </c>
      <c r="K679" t="s" s="17">
        <v>80</v>
      </c>
      <c r="L679" s="18"/>
      <c r="M679" s="18"/>
      <c r="N679" s="18"/>
      <c r="O679" s="21"/>
      <c r="P679" s="21"/>
      <c r="Q679" s="21"/>
      <c r="R679" s="21"/>
      <c r="S679" s="21"/>
      <c r="T679" s="21"/>
    </row>
    <row r="680" ht="30" customHeight="1">
      <c r="A680" t="s" s="15">
        <v>2655</v>
      </c>
      <c r="B680" s="16">
        <v>2013</v>
      </c>
      <c r="C680" t="s" s="15">
        <v>2656</v>
      </c>
      <c r="D680" t="s" s="17">
        <v>2657</v>
      </c>
      <c r="E680" t="s" s="17">
        <v>2658</v>
      </c>
      <c r="F680" s="18"/>
      <c r="G680" s="19">
        <v>2</v>
      </c>
      <c r="H680" t="s" s="20">
        <v>25</v>
      </c>
      <c r="I680" t="s" s="17">
        <v>26</v>
      </c>
      <c r="J680" t="s" s="17">
        <v>2659</v>
      </c>
      <c r="K680" s="18"/>
      <c r="L680" s="18"/>
      <c r="M680" s="18"/>
      <c r="N680" s="18"/>
      <c r="O680" s="21"/>
      <c r="P680" s="21"/>
      <c r="Q680" s="21"/>
      <c r="R680" s="21"/>
      <c r="S680" s="21"/>
      <c r="T680" s="21"/>
    </row>
    <row r="681" ht="13.55" customHeight="1">
      <c r="A681" t="s" s="15">
        <v>2660</v>
      </c>
      <c r="B681" s="16">
        <v>2008</v>
      </c>
      <c r="C681" t="s" s="15">
        <v>2661</v>
      </c>
      <c r="D681" t="s" s="17">
        <v>2662</v>
      </c>
      <c r="E681" t="s" s="17">
        <v>2663</v>
      </c>
      <c r="F681" s="18"/>
      <c r="G681" s="19">
        <v>2</v>
      </c>
      <c r="H681" t="s" s="20">
        <v>25</v>
      </c>
      <c r="I681" t="s" s="17">
        <v>26</v>
      </c>
      <c r="J681" t="s" s="17">
        <v>31</v>
      </c>
      <c r="K681" s="18"/>
      <c r="L681" s="18"/>
      <c r="M681" s="18"/>
      <c r="N681" s="18"/>
      <c r="O681" s="21"/>
      <c r="P681" s="21"/>
      <c r="Q681" s="21"/>
      <c r="R681" s="21"/>
      <c r="S681" s="21"/>
      <c r="T681" s="21"/>
    </row>
    <row r="682" ht="30" customHeight="1">
      <c r="A682" t="s" s="15">
        <v>2664</v>
      </c>
      <c r="B682" s="16">
        <v>2012</v>
      </c>
      <c r="C682" t="s" s="15">
        <v>2665</v>
      </c>
      <c r="D682" t="s" s="17">
        <v>2666</v>
      </c>
      <c r="E682" t="s" s="17">
        <v>2667</v>
      </c>
      <c r="F682" s="18"/>
      <c r="G682" s="19">
        <v>2</v>
      </c>
      <c r="H682" t="s" s="20">
        <v>25</v>
      </c>
      <c r="I682" t="s" s="17">
        <v>42</v>
      </c>
      <c r="J682" s="18"/>
      <c r="K682" t="s" s="17">
        <v>892</v>
      </c>
      <c r="L682" t="s" s="17">
        <v>26</v>
      </c>
      <c r="M682" s="18"/>
      <c r="N682" t="s" s="17">
        <v>2590</v>
      </c>
      <c r="O682" t="s" s="20">
        <v>2668</v>
      </c>
      <c r="P682" s="21"/>
      <c r="Q682" s="21"/>
      <c r="R682" s="21"/>
      <c r="S682" s="21"/>
      <c r="T682" s="21"/>
    </row>
    <row r="683" ht="26.55" customHeight="1">
      <c r="A683" t="s" s="15">
        <v>2669</v>
      </c>
      <c r="B683" s="16">
        <v>2009</v>
      </c>
      <c r="C683" t="s" s="15">
        <v>2670</v>
      </c>
      <c r="D683" t="s" s="17">
        <v>2671</v>
      </c>
      <c r="E683" t="s" s="17">
        <v>2672</v>
      </c>
      <c r="F683" s="18"/>
      <c r="G683" s="19">
        <v>2</v>
      </c>
      <c r="H683" t="s" s="20">
        <v>25</v>
      </c>
      <c r="I683" t="s" s="17">
        <v>26</v>
      </c>
      <c r="J683" t="s" s="17">
        <v>27</v>
      </c>
      <c r="K683" s="18"/>
      <c r="L683" s="18"/>
      <c r="M683" s="18"/>
      <c r="N683" s="18"/>
      <c r="O683" s="21"/>
      <c r="P683" s="21"/>
      <c r="Q683" s="21"/>
      <c r="R683" s="21"/>
      <c r="S683" s="21"/>
      <c r="T683" s="21"/>
    </row>
    <row r="684" ht="30" customHeight="1">
      <c r="A684" t="s" s="15">
        <v>2673</v>
      </c>
      <c r="B684" s="16">
        <v>2008</v>
      </c>
      <c r="C684" t="s" s="15">
        <v>2674</v>
      </c>
      <c r="D684" t="s" s="17">
        <v>2675</v>
      </c>
      <c r="E684" t="s" s="17">
        <v>2676</v>
      </c>
      <c r="F684" s="18"/>
      <c r="G684" s="19">
        <v>2</v>
      </c>
      <c r="H684" t="s" s="20">
        <v>25</v>
      </c>
      <c r="I684" t="s" s="17">
        <v>26</v>
      </c>
      <c r="J684" t="s" s="17">
        <v>27</v>
      </c>
      <c r="K684" s="18"/>
      <c r="L684" s="18"/>
      <c r="M684" s="18"/>
      <c r="N684" s="18"/>
      <c r="O684" s="21"/>
      <c r="P684" s="21"/>
      <c r="Q684" s="21"/>
      <c r="R684" s="21"/>
      <c r="S684" s="21"/>
      <c r="T684" s="21"/>
    </row>
    <row r="685" ht="30" customHeight="1">
      <c r="A685" t="s" s="15">
        <v>2677</v>
      </c>
      <c r="B685" s="16">
        <v>2022</v>
      </c>
      <c r="C685" t="s" s="15">
        <v>2678</v>
      </c>
      <c r="D685" t="s" s="17">
        <v>2679</v>
      </c>
      <c r="E685" t="s" s="17">
        <v>2680</v>
      </c>
      <c r="F685" s="18"/>
      <c r="G685" s="19">
        <v>2</v>
      </c>
      <c r="H685" t="s" s="20">
        <v>25</v>
      </c>
      <c r="I685" t="s" s="17">
        <v>26</v>
      </c>
      <c r="J685" t="s" s="17">
        <v>31</v>
      </c>
      <c r="K685" s="18"/>
      <c r="L685" s="18"/>
      <c r="M685" s="18"/>
      <c r="N685" s="18"/>
      <c r="O685" s="21"/>
      <c r="P685" s="21"/>
      <c r="Q685" s="21"/>
      <c r="R685" s="21"/>
      <c r="S685" s="21"/>
      <c r="T685" s="21"/>
    </row>
    <row r="686" ht="30" customHeight="1">
      <c r="A686" t="s" s="15">
        <v>2681</v>
      </c>
      <c r="B686" s="16">
        <v>2006</v>
      </c>
      <c r="C686" t="s" s="15">
        <v>2682</v>
      </c>
      <c r="D686" t="s" s="17">
        <v>2683</v>
      </c>
      <c r="E686" t="s" s="17">
        <v>2684</v>
      </c>
      <c r="F686" s="18"/>
      <c r="G686" s="19">
        <v>3</v>
      </c>
      <c r="H686" t="s" s="20">
        <v>46</v>
      </c>
      <c r="I686" t="s" s="17">
        <v>26</v>
      </c>
      <c r="J686" t="s" s="17">
        <v>27</v>
      </c>
      <c r="K686" s="18"/>
      <c r="L686" s="18"/>
      <c r="M686" s="18"/>
      <c r="N686" s="18"/>
      <c r="O686" s="21"/>
      <c r="P686" s="21"/>
      <c r="Q686" s="21"/>
      <c r="R686" s="21"/>
      <c r="S686" s="21"/>
      <c r="T686" s="21"/>
    </row>
    <row r="687" ht="30" customHeight="1">
      <c r="A687" t="s" s="15">
        <v>2685</v>
      </c>
      <c r="B687" s="16">
        <v>2008</v>
      </c>
      <c r="C687" t="s" s="15">
        <v>2682</v>
      </c>
      <c r="D687" t="s" s="17">
        <v>2686</v>
      </c>
      <c r="E687" t="s" s="17">
        <v>2687</v>
      </c>
      <c r="F687" s="18"/>
      <c r="G687" s="19">
        <v>2</v>
      </c>
      <c r="H687" t="s" s="20">
        <v>25</v>
      </c>
      <c r="I687" t="s" s="17">
        <v>42</v>
      </c>
      <c r="J687" s="18"/>
      <c r="K687" t="s" s="17">
        <v>43</v>
      </c>
      <c r="L687" t="s" s="17">
        <v>26</v>
      </c>
      <c r="M687" s="18"/>
      <c r="N687" t="s" s="17">
        <v>391</v>
      </c>
      <c r="O687" t="s" s="20">
        <v>2688</v>
      </c>
      <c r="P687" s="21"/>
      <c r="Q687" s="21"/>
      <c r="R687" s="21"/>
      <c r="S687" s="21"/>
      <c r="T687" s="21"/>
    </row>
    <row r="688" ht="30" customHeight="1">
      <c r="A688" t="s" s="15">
        <v>2689</v>
      </c>
      <c r="B688" s="16">
        <v>2012</v>
      </c>
      <c r="C688" t="s" s="15">
        <v>2682</v>
      </c>
      <c r="D688" t="s" s="17">
        <v>2690</v>
      </c>
      <c r="E688" t="s" s="17">
        <v>2691</v>
      </c>
      <c r="F688" s="18"/>
      <c r="G688" s="19">
        <v>2</v>
      </c>
      <c r="H688" t="s" s="20">
        <v>25</v>
      </c>
      <c r="I688" t="s" s="17">
        <v>26</v>
      </c>
      <c r="J688" t="s" s="17">
        <v>970</v>
      </c>
      <c r="K688" t="s" s="17">
        <v>2398</v>
      </c>
      <c r="L688" s="18"/>
      <c r="M688" s="18"/>
      <c r="N688" s="18"/>
      <c r="O688" s="21"/>
      <c r="P688" s="21"/>
      <c r="Q688" s="21"/>
      <c r="R688" s="21"/>
      <c r="S688" s="21"/>
      <c r="T688" s="21"/>
    </row>
    <row r="689" ht="39.55" customHeight="1">
      <c r="A689" t="s" s="15">
        <v>2692</v>
      </c>
      <c r="B689" s="16">
        <v>2019</v>
      </c>
      <c r="C689" t="s" s="15">
        <v>2693</v>
      </c>
      <c r="D689" t="s" s="17">
        <v>2694</v>
      </c>
      <c r="E689" t="s" s="17">
        <v>2695</v>
      </c>
      <c r="F689" s="18"/>
      <c r="G689" s="19">
        <v>3</v>
      </c>
      <c r="H689" t="s" s="20">
        <v>25</v>
      </c>
      <c r="I689" t="s" s="17">
        <v>26</v>
      </c>
      <c r="J689" t="s" s="17">
        <v>31</v>
      </c>
      <c r="K689" t="s" s="17">
        <v>2696</v>
      </c>
      <c r="L689" s="18"/>
      <c r="M689" s="18"/>
      <c r="N689" s="18"/>
      <c r="O689" s="21"/>
      <c r="P689" s="21"/>
      <c r="Q689" s="21"/>
      <c r="R689" s="21"/>
      <c r="S689" s="21"/>
      <c r="T689" s="21"/>
    </row>
    <row r="690" ht="26.55" customHeight="1">
      <c r="A690" t="s" s="15">
        <v>2697</v>
      </c>
      <c r="B690" s="16">
        <v>2009</v>
      </c>
      <c r="C690" t="s" s="15">
        <v>2698</v>
      </c>
      <c r="D690" t="s" s="17">
        <v>2699</v>
      </c>
      <c r="E690" t="s" s="17">
        <v>2700</v>
      </c>
      <c r="F690" s="18"/>
      <c r="G690" s="19">
        <v>2</v>
      </c>
      <c r="H690" t="s" s="20">
        <v>25</v>
      </c>
      <c r="I690" t="s" s="17">
        <v>26</v>
      </c>
      <c r="J690" t="s" s="17">
        <v>560</v>
      </c>
      <c r="K690" s="18"/>
      <c r="L690" s="18"/>
      <c r="M690" s="18"/>
      <c r="N690" s="18"/>
      <c r="O690" s="21"/>
      <c r="P690" s="21"/>
      <c r="Q690" s="21"/>
      <c r="R690" s="21"/>
      <c r="S690" s="21"/>
      <c r="T690" s="21"/>
    </row>
    <row r="691" ht="39.55" customHeight="1">
      <c r="A691" t="s" s="15">
        <v>2701</v>
      </c>
      <c r="B691" s="16">
        <v>2019</v>
      </c>
      <c r="C691" t="s" s="15">
        <v>2702</v>
      </c>
      <c r="D691" t="s" s="17">
        <v>2703</v>
      </c>
      <c r="E691" t="s" s="17">
        <v>2704</v>
      </c>
      <c r="F691" s="18"/>
      <c r="G691" s="19">
        <v>3</v>
      </c>
      <c r="H691" t="s" s="20">
        <v>25</v>
      </c>
      <c r="I691" t="s" s="17">
        <v>26</v>
      </c>
      <c r="J691" t="s" s="17">
        <v>93</v>
      </c>
      <c r="K691" t="s" s="17">
        <v>80</v>
      </c>
      <c r="L691" s="18"/>
      <c r="M691" s="18"/>
      <c r="N691" s="18"/>
      <c r="O691" s="21"/>
      <c r="P691" s="21"/>
      <c r="Q691" s="21"/>
      <c r="R691" s="21"/>
      <c r="S691" s="21"/>
      <c r="T691" s="21"/>
    </row>
    <row r="692" ht="30" customHeight="1">
      <c r="A692" t="s" s="15">
        <v>2705</v>
      </c>
      <c r="B692" s="16">
        <v>2012</v>
      </c>
      <c r="C692" t="s" s="15">
        <v>2706</v>
      </c>
      <c r="D692" t="s" s="17">
        <v>2707</v>
      </c>
      <c r="E692" t="s" s="17">
        <v>2708</v>
      </c>
      <c r="F692" s="18"/>
      <c r="G692" s="19">
        <v>3</v>
      </c>
      <c r="H692" t="s" s="20">
        <v>46</v>
      </c>
      <c r="I692" t="s" s="17">
        <v>42</v>
      </c>
      <c r="J692" t="s" s="17">
        <v>85</v>
      </c>
      <c r="K692" t="s" s="17">
        <v>288</v>
      </c>
      <c r="L692" s="18"/>
      <c r="M692" s="18"/>
      <c r="N692" s="18"/>
      <c r="O692" s="21"/>
      <c r="P692" s="21"/>
      <c r="Q692" s="21"/>
      <c r="R692" s="21"/>
      <c r="S692" s="21"/>
      <c r="T692" s="21"/>
    </row>
    <row r="693" ht="30" customHeight="1">
      <c r="A693" t="s" s="15">
        <v>2709</v>
      </c>
      <c r="B693" s="16">
        <v>2010</v>
      </c>
      <c r="C693" t="s" s="15">
        <v>2710</v>
      </c>
      <c r="D693" t="s" s="17">
        <v>2711</v>
      </c>
      <c r="E693" t="s" s="17">
        <v>2712</v>
      </c>
      <c r="F693" s="18"/>
      <c r="G693" s="19">
        <v>3</v>
      </c>
      <c r="H693" t="s" s="20">
        <v>46</v>
      </c>
      <c r="I693" t="s" s="17">
        <v>26</v>
      </c>
      <c r="J693" t="s" s="17">
        <v>93</v>
      </c>
      <c r="K693" s="18"/>
      <c r="L693" s="18"/>
      <c r="M693" s="18"/>
      <c r="N693" s="18"/>
      <c r="O693" s="21"/>
      <c r="P693" s="21"/>
      <c r="Q693" s="21"/>
      <c r="R693" s="21"/>
      <c r="S693" s="21"/>
      <c r="T693" s="21"/>
    </row>
    <row r="694" ht="26.55" customHeight="1">
      <c r="A694" t="s" s="15">
        <v>2713</v>
      </c>
      <c r="B694" s="16">
        <v>2018</v>
      </c>
      <c r="C694" t="s" s="15">
        <v>2714</v>
      </c>
      <c r="D694" t="s" s="17">
        <v>2715</v>
      </c>
      <c r="E694" t="s" s="17">
        <v>2716</v>
      </c>
      <c r="F694" s="18"/>
      <c r="G694" s="19">
        <v>2</v>
      </c>
      <c r="H694" t="s" s="20">
        <v>25</v>
      </c>
      <c r="I694" t="s" s="17">
        <v>42</v>
      </c>
      <c r="J694" t="s" s="17">
        <v>85</v>
      </c>
      <c r="K694" t="s" s="17">
        <v>1477</v>
      </c>
      <c r="L694" s="18"/>
      <c r="M694" s="18"/>
      <c r="N694" s="18"/>
      <c r="O694" s="21"/>
      <c r="P694" s="21"/>
      <c r="Q694" s="21"/>
      <c r="R694" s="21"/>
      <c r="S694" s="21"/>
      <c r="T694" s="21"/>
    </row>
    <row r="695" ht="30" customHeight="1">
      <c r="A695" t="s" s="15">
        <v>2717</v>
      </c>
      <c r="B695" s="16">
        <v>2010</v>
      </c>
      <c r="C695" t="s" s="15">
        <v>2718</v>
      </c>
      <c r="D695" t="s" s="17">
        <v>2719</v>
      </c>
      <c r="E695" t="s" s="17">
        <v>2720</v>
      </c>
      <c r="F695" s="18"/>
      <c r="G695" s="19">
        <v>3</v>
      </c>
      <c r="H695" t="s" s="20">
        <v>46</v>
      </c>
      <c r="I695" t="s" s="17">
        <v>26</v>
      </c>
      <c r="J695" t="s" s="17">
        <v>391</v>
      </c>
      <c r="K695" t="s" s="17">
        <v>2721</v>
      </c>
      <c r="L695" s="18"/>
      <c r="M695" s="18"/>
      <c r="N695" s="18"/>
      <c r="O695" s="21"/>
      <c r="P695" s="21"/>
      <c r="Q695" s="21"/>
      <c r="R695" s="21"/>
      <c r="S695" s="21"/>
      <c r="T695" s="21"/>
    </row>
    <row r="696" ht="30" customHeight="1">
      <c r="A696" t="s" s="15">
        <v>2722</v>
      </c>
      <c r="B696" s="16">
        <v>2013</v>
      </c>
      <c r="C696" t="s" s="15">
        <v>2718</v>
      </c>
      <c r="D696" t="s" s="17">
        <v>2723</v>
      </c>
      <c r="E696" t="s" s="17">
        <v>2724</v>
      </c>
      <c r="F696" s="18"/>
      <c r="G696" s="19">
        <v>3</v>
      </c>
      <c r="H696" t="s" s="20">
        <v>46</v>
      </c>
      <c r="I696" t="s" s="17">
        <v>26</v>
      </c>
      <c r="J696" t="s" s="17">
        <v>391</v>
      </c>
      <c r="K696" s="18"/>
      <c r="L696" s="18"/>
      <c r="M696" s="18"/>
      <c r="N696" s="18"/>
      <c r="O696" s="21"/>
      <c r="P696" s="21"/>
      <c r="Q696" s="21"/>
      <c r="R696" s="21"/>
      <c r="S696" s="21"/>
      <c r="T696" s="21"/>
    </row>
    <row r="697" ht="30" customHeight="1">
      <c r="A697" t="s" s="15">
        <v>2725</v>
      </c>
      <c r="B697" s="16">
        <v>2013</v>
      </c>
      <c r="C697" t="s" s="15">
        <v>2726</v>
      </c>
      <c r="D697" t="s" s="17">
        <v>2727</v>
      </c>
      <c r="E697" t="s" s="17">
        <v>2728</v>
      </c>
      <c r="F697" s="18"/>
      <c r="G697" s="19">
        <v>3</v>
      </c>
      <c r="H697" t="s" s="20">
        <v>46</v>
      </c>
      <c r="I697" t="s" s="17">
        <v>26</v>
      </c>
      <c r="J697" t="s" s="17">
        <v>1281</v>
      </c>
      <c r="K697" t="s" s="17">
        <v>2729</v>
      </c>
      <c r="L697" s="18"/>
      <c r="M697" s="18"/>
      <c r="N697" s="18"/>
      <c r="O697" s="21"/>
      <c r="P697" s="21"/>
      <c r="Q697" s="21"/>
      <c r="R697" s="21"/>
      <c r="S697" s="21"/>
      <c r="T697" s="21"/>
    </row>
    <row r="698" ht="30" customHeight="1">
      <c r="A698" t="s" s="15">
        <v>2730</v>
      </c>
      <c r="B698" s="16">
        <v>2018</v>
      </c>
      <c r="C698" t="s" s="15">
        <v>2726</v>
      </c>
      <c r="D698" t="s" s="17">
        <v>2731</v>
      </c>
      <c r="E698" t="s" s="17">
        <v>2732</v>
      </c>
      <c r="F698" s="18"/>
      <c r="G698" s="19">
        <v>2</v>
      </c>
      <c r="H698" t="s" s="20">
        <v>25</v>
      </c>
      <c r="I698" t="s" s="17">
        <v>42</v>
      </c>
      <c r="J698" t="s" s="17">
        <v>93</v>
      </c>
      <c r="K698" t="s" s="17">
        <v>1477</v>
      </c>
      <c r="L698" s="18"/>
      <c r="M698" s="18"/>
      <c r="N698" s="18"/>
      <c r="O698" s="21"/>
      <c r="P698" s="21"/>
      <c r="Q698" s="21"/>
      <c r="R698" s="21"/>
      <c r="S698" s="21"/>
      <c r="T698" s="21"/>
    </row>
    <row r="699" ht="60" customHeight="1">
      <c r="A699" t="s" s="15">
        <v>2733</v>
      </c>
      <c r="B699" s="16">
        <v>2021</v>
      </c>
      <c r="C699" t="s" s="15">
        <v>2734</v>
      </c>
      <c r="D699" t="s" s="17">
        <v>2735</v>
      </c>
      <c r="E699" t="s" s="17">
        <v>2736</v>
      </c>
      <c r="F699" s="18"/>
      <c r="G699" s="19">
        <v>3</v>
      </c>
      <c r="H699" t="s" s="20">
        <v>46</v>
      </c>
      <c r="I699" t="s" s="17">
        <v>42</v>
      </c>
      <c r="J699" s="18"/>
      <c r="K699" t="s" s="17">
        <v>2737</v>
      </c>
      <c r="L699" t="s" s="17">
        <v>26</v>
      </c>
      <c r="M699" s="18"/>
      <c r="N699" t="s" s="17">
        <v>316</v>
      </c>
      <c r="O699" t="s" s="20">
        <v>2738</v>
      </c>
      <c r="P699" s="21"/>
      <c r="Q699" s="21"/>
      <c r="R699" s="21"/>
      <c r="S699" s="21"/>
      <c r="T699" s="21"/>
    </row>
    <row r="700" ht="30" customHeight="1">
      <c r="A700" t="s" s="15">
        <v>2739</v>
      </c>
      <c r="B700" s="16">
        <v>2022</v>
      </c>
      <c r="C700" t="s" s="15">
        <v>2734</v>
      </c>
      <c r="D700" t="s" s="17">
        <v>2740</v>
      </c>
      <c r="E700" t="s" s="17">
        <v>2741</v>
      </c>
      <c r="F700" s="18"/>
      <c r="G700" s="19">
        <v>3</v>
      </c>
      <c r="H700" t="s" s="20">
        <v>46</v>
      </c>
      <c r="I700" t="s" s="17">
        <v>26</v>
      </c>
      <c r="J700" t="s" s="17">
        <v>131</v>
      </c>
      <c r="K700" t="s" s="17">
        <v>262</v>
      </c>
      <c r="L700" s="18"/>
      <c r="M700" s="18"/>
      <c r="N700" s="18"/>
      <c r="O700" s="21"/>
      <c r="P700" s="21"/>
      <c r="Q700" s="21"/>
      <c r="R700" s="21"/>
      <c r="S700" s="21"/>
      <c r="T700" s="21"/>
    </row>
    <row r="701" ht="39.55" customHeight="1">
      <c r="A701" t="s" s="15">
        <v>2742</v>
      </c>
      <c r="B701" s="16">
        <v>2021</v>
      </c>
      <c r="C701" t="s" s="15">
        <v>2743</v>
      </c>
      <c r="D701" t="s" s="17">
        <v>2744</v>
      </c>
      <c r="E701" t="s" s="17">
        <v>2745</v>
      </c>
      <c r="F701" s="18"/>
      <c r="G701" s="19">
        <v>2</v>
      </c>
      <c r="H701" t="s" s="20">
        <v>25</v>
      </c>
      <c r="I701" t="s" s="17">
        <v>26</v>
      </c>
      <c r="J701" t="s" s="17">
        <v>27</v>
      </c>
      <c r="K701" t="s" s="17">
        <v>86</v>
      </c>
      <c r="L701" s="18"/>
      <c r="M701" s="18"/>
      <c r="N701" s="18"/>
      <c r="O701" s="21"/>
      <c r="P701" s="21"/>
      <c r="Q701" s="21"/>
      <c r="R701" s="21"/>
      <c r="S701" s="21"/>
      <c r="T701" s="21"/>
    </row>
    <row r="702" ht="13.55" customHeight="1">
      <c r="A702" t="s" s="15">
        <v>2746</v>
      </c>
      <c r="B702" s="16">
        <v>2011</v>
      </c>
      <c r="C702" t="s" s="15">
        <v>2747</v>
      </c>
      <c r="D702" t="s" s="17">
        <v>2748</v>
      </c>
      <c r="E702" s="18"/>
      <c r="F702" s="18"/>
      <c r="G702" s="19">
        <v>3</v>
      </c>
      <c r="H702" t="s" s="20">
        <v>46</v>
      </c>
      <c r="I702" t="s" s="17">
        <v>26</v>
      </c>
      <c r="J702" t="s" s="17">
        <v>31</v>
      </c>
      <c r="K702" t="s" s="17">
        <v>86</v>
      </c>
      <c r="L702" s="18"/>
      <c r="M702" s="18"/>
      <c r="N702" s="18"/>
      <c r="O702" s="21"/>
      <c r="P702" s="21"/>
      <c r="Q702" s="21"/>
      <c r="R702" s="21"/>
      <c r="S702" s="21"/>
      <c r="T702" s="21"/>
    </row>
    <row r="703" ht="30" customHeight="1">
      <c r="A703" t="s" s="15">
        <v>2749</v>
      </c>
      <c r="B703" s="16">
        <v>2017</v>
      </c>
      <c r="C703" t="s" s="15">
        <v>2750</v>
      </c>
      <c r="D703" t="s" s="17">
        <v>2751</v>
      </c>
      <c r="E703" t="s" s="17">
        <v>2752</v>
      </c>
      <c r="F703" s="18"/>
      <c r="G703" s="19">
        <v>2</v>
      </c>
      <c r="H703" t="s" s="20">
        <v>25</v>
      </c>
      <c r="I703" t="s" s="17">
        <v>42</v>
      </c>
      <c r="J703" t="s" s="17">
        <v>93</v>
      </c>
      <c r="K703" t="s" s="17">
        <v>1477</v>
      </c>
      <c r="L703" s="18"/>
      <c r="M703" s="18"/>
      <c r="N703" s="18"/>
      <c r="O703" s="21"/>
      <c r="P703" s="21"/>
      <c r="Q703" s="21"/>
      <c r="R703" s="21"/>
      <c r="S703" s="21"/>
      <c r="T703" s="21"/>
    </row>
    <row r="704" ht="26.55" customHeight="1">
      <c r="A704" t="s" s="15">
        <v>2753</v>
      </c>
      <c r="B704" s="16">
        <v>2019</v>
      </c>
      <c r="C704" t="s" s="15">
        <v>2754</v>
      </c>
      <c r="D704" t="s" s="17">
        <v>2755</v>
      </c>
      <c r="E704" t="s" s="17">
        <v>2756</v>
      </c>
      <c r="F704" s="18"/>
      <c r="G704" s="19">
        <v>2</v>
      </c>
      <c r="H704" t="s" s="20">
        <v>25</v>
      </c>
      <c r="I704" t="s" s="17">
        <v>26</v>
      </c>
      <c r="J704" t="s" s="17">
        <v>31</v>
      </c>
      <c r="K704" t="s" s="17">
        <v>86</v>
      </c>
      <c r="L704" s="18"/>
      <c r="M704" s="18"/>
      <c r="N704" s="18"/>
      <c r="O704" s="21"/>
      <c r="P704" s="21"/>
      <c r="Q704" s="21"/>
      <c r="R704" s="21"/>
      <c r="S704" s="21"/>
      <c r="T704" s="21"/>
    </row>
    <row r="705" ht="30" customHeight="1">
      <c r="A705" t="s" s="15">
        <v>2757</v>
      </c>
      <c r="B705" s="16">
        <v>2007</v>
      </c>
      <c r="C705" t="s" s="15">
        <v>2758</v>
      </c>
      <c r="D705" t="s" s="17">
        <v>2759</v>
      </c>
      <c r="E705" s="18"/>
      <c r="F705" s="18"/>
      <c r="G705" s="19">
        <v>3</v>
      </c>
      <c r="H705" t="s" s="20">
        <v>46</v>
      </c>
      <c r="I705" t="s" s="17">
        <v>42</v>
      </c>
      <c r="J705" s="18"/>
      <c r="K705" t="s" s="17">
        <v>293</v>
      </c>
      <c r="L705" t="s" s="17">
        <v>26</v>
      </c>
      <c r="M705" s="18"/>
      <c r="N705" t="s" s="17">
        <v>2590</v>
      </c>
      <c r="O705" t="s" s="20">
        <v>2760</v>
      </c>
      <c r="P705" s="21"/>
      <c r="Q705" s="21"/>
      <c r="R705" s="21"/>
      <c r="S705" s="21"/>
      <c r="T705" s="21"/>
    </row>
    <row r="706" ht="30" customHeight="1">
      <c r="A706" t="s" s="15">
        <v>2761</v>
      </c>
      <c r="B706" s="16">
        <v>2021</v>
      </c>
      <c r="C706" t="s" s="15">
        <v>2762</v>
      </c>
      <c r="D706" t="s" s="17">
        <v>2763</v>
      </c>
      <c r="E706" t="s" s="17">
        <v>2764</v>
      </c>
      <c r="F706" s="18"/>
      <c r="G706" s="19">
        <v>2</v>
      </c>
      <c r="H706" t="s" s="20">
        <v>25</v>
      </c>
      <c r="I706" t="s" s="17">
        <v>26</v>
      </c>
      <c r="J706" t="s" s="17">
        <v>173</v>
      </c>
      <c r="K706" s="18"/>
      <c r="L706" s="18"/>
      <c r="M706" s="18"/>
      <c r="N706" s="18"/>
      <c r="O706" s="21"/>
      <c r="P706" s="21"/>
      <c r="Q706" s="21"/>
      <c r="R706" s="21"/>
      <c r="S706" s="21"/>
      <c r="T706" s="21"/>
    </row>
    <row r="707" ht="30" customHeight="1">
      <c r="A707" t="s" s="15">
        <v>2765</v>
      </c>
      <c r="B707" s="16">
        <v>2008</v>
      </c>
      <c r="C707" t="s" s="15">
        <v>2766</v>
      </c>
      <c r="D707" t="s" s="17">
        <v>2767</v>
      </c>
      <c r="E707" t="s" s="17">
        <v>2768</v>
      </c>
      <c r="F707" s="18"/>
      <c r="G707" s="19">
        <v>2</v>
      </c>
      <c r="H707" t="s" s="20">
        <v>25</v>
      </c>
      <c r="I707" t="s" s="17">
        <v>26</v>
      </c>
      <c r="J707" t="s" s="17">
        <v>93</v>
      </c>
      <c r="K707" t="s" s="17">
        <v>2398</v>
      </c>
      <c r="L707" s="18"/>
      <c r="M707" s="18"/>
      <c r="N707" s="18"/>
      <c r="O707" s="21"/>
      <c r="P707" s="21"/>
      <c r="Q707" s="21"/>
      <c r="R707" s="21"/>
      <c r="S707" s="21"/>
      <c r="T707" s="21"/>
    </row>
    <row r="708" ht="30" customHeight="1">
      <c r="A708" t="s" s="15">
        <v>2769</v>
      </c>
      <c r="B708" s="16">
        <v>2014</v>
      </c>
      <c r="C708" t="s" s="15">
        <v>2770</v>
      </c>
      <c r="D708" t="s" s="17">
        <v>2771</v>
      </c>
      <c r="E708" t="s" s="17">
        <v>2772</v>
      </c>
      <c r="F708" s="18"/>
      <c r="G708" s="19">
        <v>2</v>
      </c>
      <c r="H708" t="s" s="20">
        <v>25</v>
      </c>
      <c r="I708" t="s" s="17">
        <v>26</v>
      </c>
      <c r="J708" t="s" s="17">
        <v>885</v>
      </c>
      <c r="K708" t="s" s="17">
        <v>886</v>
      </c>
      <c r="L708" s="18"/>
      <c r="M708" s="18"/>
      <c r="N708" s="18"/>
      <c r="O708" s="21"/>
      <c r="P708" s="21"/>
      <c r="Q708" s="21"/>
      <c r="R708" s="21"/>
      <c r="S708" s="21"/>
      <c r="T708" s="21"/>
    </row>
    <row r="709" ht="45" customHeight="1">
      <c r="A709" t="s" s="15">
        <v>2773</v>
      </c>
      <c r="B709" s="16">
        <v>2021</v>
      </c>
      <c r="C709" t="s" s="15">
        <v>2770</v>
      </c>
      <c r="D709" t="s" s="17">
        <v>2774</v>
      </c>
      <c r="E709" t="s" s="17">
        <v>2775</v>
      </c>
      <c r="F709" s="18"/>
      <c r="G709" s="19">
        <v>2</v>
      </c>
      <c r="H709" t="s" s="20">
        <v>25</v>
      </c>
      <c r="I709" t="s" s="17">
        <v>26</v>
      </c>
      <c r="J709" t="s" s="17">
        <v>885</v>
      </c>
      <c r="K709" t="s" s="17">
        <v>886</v>
      </c>
      <c r="L709" s="18"/>
      <c r="M709" s="18"/>
      <c r="N709" s="18"/>
      <c r="O709" s="21"/>
      <c r="P709" s="21"/>
      <c r="Q709" s="21"/>
      <c r="R709" s="21"/>
      <c r="S709" s="21"/>
      <c r="T709" s="21"/>
    </row>
    <row r="710" ht="26.55" customHeight="1">
      <c r="A710" t="s" s="15">
        <v>2776</v>
      </c>
      <c r="B710" s="16">
        <v>2019</v>
      </c>
      <c r="C710" t="s" s="15">
        <v>2777</v>
      </c>
      <c r="D710" t="s" s="17">
        <v>2778</v>
      </c>
      <c r="E710" t="s" s="17">
        <v>2779</v>
      </c>
      <c r="F710" s="18"/>
      <c r="G710" s="19">
        <v>2</v>
      </c>
      <c r="H710" t="s" s="20">
        <v>25</v>
      </c>
      <c r="I710" t="s" s="17">
        <v>26</v>
      </c>
      <c r="J710" t="s" s="17">
        <v>31</v>
      </c>
      <c r="K710" t="s" s="17">
        <v>86</v>
      </c>
      <c r="L710" s="18"/>
      <c r="M710" s="18"/>
      <c r="N710" s="18"/>
      <c r="O710" s="21"/>
      <c r="P710" s="21"/>
      <c r="Q710" s="21"/>
      <c r="R710" s="21"/>
      <c r="S710" s="21"/>
      <c r="T710" s="21"/>
    </row>
    <row r="711" ht="26.55" customHeight="1">
      <c r="A711" t="s" s="15">
        <v>2780</v>
      </c>
      <c r="B711" s="16">
        <v>2008</v>
      </c>
      <c r="C711" t="s" s="15">
        <v>2781</v>
      </c>
      <c r="D711" t="s" s="17">
        <v>2782</v>
      </c>
      <c r="E711" t="s" s="17">
        <v>2783</v>
      </c>
      <c r="F711" s="18"/>
      <c r="G711" s="19">
        <v>2</v>
      </c>
      <c r="H711" t="s" s="20">
        <v>25</v>
      </c>
      <c r="I711" t="s" s="17">
        <v>26</v>
      </c>
      <c r="J711" t="s" s="17">
        <v>31</v>
      </c>
      <c r="K711" t="s" s="17">
        <v>86</v>
      </c>
      <c r="L711" s="18"/>
      <c r="M711" s="18"/>
      <c r="N711" s="18"/>
      <c r="O711" s="21"/>
      <c r="P711" s="21"/>
      <c r="Q711" s="21"/>
      <c r="R711" s="21"/>
      <c r="S711" s="21"/>
      <c r="T711" s="21"/>
    </row>
    <row r="712" ht="26.55" customHeight="1">
      <c r="A712" t="s" s="15">
        <v>2784</v>
      </c>
      <c r="B712" s="16">
        <v>2014</v>
      </c>
      <c r="C712" t="s" s="15">
        <v>2781</v>
      </c>
      <c r="D712" t="s" s="17">
        <v>2785</v>
      </c>
      <c r="E712" t="s" s="17">
        <v>2786</v>
      </c>
      <c r="F712" s="18"/>
      <c r="G712" s="19">
        <v>2</v>
      </c>
      <c r="H712" t="s" s="20">
        <v>25</v>
      </c>
      <c r="I712" t="s" s="17">
        <v>26</v>
      </c>
      <c r="J712" t="s" s="17">
        <v>31</v>
      </c>
      <c r="K712" s="18"/>
      <c r="L712" s="18"/>
      <c r="M712" s="18"/>
      <c r="N712" s="18"/>
      <c r="O712" s="21"/>
      <c r="P712" s="21"/>
      <c r="Q712" s="21"/>
      <c r="R712" s="21"/>
      <c r="S712" s="21"/>
      <c r="T712" s="21"/>
    </row>
    <row r="713" ht="30" customHeight="1">
      <c r="A713" t="s" s="15">
        <v>2787</v>
      </c>
      <c r="B713" s="16">
        <v>2008</v>
      </c>
      <c r="C713" t="s" s="15">
        <v>2788</v>
      </c>
      <c r="D713" t="s" s="17">
        <v>2789</v>
      </c>
      <c r="E713" t="s" s="17">
        <v>2790</v>
      </c>
      <c r="F713" s="18"/>
      <c r="G713" s="19">
        <v>2</v>
      </c>
      <c r="H713" t="s" s="20">
        <v>25</v>
      </c>
      <c r="I713" t="s" s="17">
        <v>42</v>
      </c>
      <c r="J713" t="s" s="17">
        <v>85</v>
      </c>
      <c r="K713" t="s" s="17">
        <v>1477</v>
      </c>
      <c r="L713" s="18"/>
      <c r="M713" s="18"/>
      <c r="N713" s="18"/>
      <c r="O713" s="21"/>
      <c r="P713" s="21"/>
      <c r="Q713" s="21"/>
      <c r="R713" s="21"/>
      <c r="S713" s="21"/>
      <c r="T713" s="21"/>
    </row>
    <row r="714" ht="30" customHeight="1">
      <c r="A714" t="s" s="15">
        <v>2791</v>
      </c>
      <c r="B714" s="16">
        <v>2018</v>
      </c>
      <c r="C714" t="s" s="15">
        <v>2792</v>
      </c>
      <c r="D714" t="s" s="17">
        <v>2793</v>
      </c>
      <c r="E714" t="s" s="17">
        <v>2794</v>
      </c>
      <c r="F714" s="18"/>
      <c r="G714" s="19">
        <v>2</v>
      </c>
      <c r="H714" t="s" s="20">
        <v>25</v>
      </c>
      <c r="I714" t="s" s="17">
        <v>26</v>
      </c>
      <c r="J714" t="s" s="17">
        <v>2795</v>
      </c>
      <c r="K714" s="18"/>
      <c r="L714" s="18"/>
      <c r="M714" s="18"/>
      <c r="N714" s="18"/>
      <c r="O714" s="21"/>
      <c r="P714" s="21"/>
      <c r="Q714" s="21"/>
      <c r="R714" s="21"/>
      <c r="S714" s="21"/>
      <c r="T714" s="21"/>
    </row>
    <row r="715" ht="30" customHeight="1">
      <c r="A715" t="s" s="15">
        <v>2796</v>
      </c>
      <c r="B715" s="16">
        <v>2023</v>
      </c>
      <c r="C715" t="s" s="15">
        <v>2797</v>
      </c>
      <c r="D715" t="s" s="17">
        <v>2798</v>
      </c>
      <c r="E715" t="s" s="17">
        <v>2799</v>
      </c>
      <c r="F715" s="18"/>
      <c r="G715" s="19">
        <v>3</v>
      </c>
      <c r="H715" t="s" s="20">
        <v>46</v>
      </c>
      <c r="I715" t="s" s="17">
        <v>26</v>
      </c>
      <c r="J715" t="s" s="17">
        <v>93</v>
      </c>
      <c r="K715" t="s" s="17">
        <v>1446</v>
      </c>
      <c r="L715" s="18"/>
      <c r="M715" s="18"/>
      <c r="N715" s="18"/>
      <c r="O715" s="21"/>
      <c r="P715" s="21"/>
      <c r="Q715" s="21"/>
      <c r="R715" s="21"/>
      <c r="S715" s="21"/>
      <c r="T715" s="21"/>
    </row>
    <row r="716" ht="30" customHeight="1">
      <c r="A716" t="s" s="15">
        <v>2800</v>
      </c>
      <c r="B716" s="16">
        <v>2022</v>
      </c>
      <c r="C716" t="s" s="15">
        <v>2801</v>
      </c>
      <c r="D716" t="s" s="17">
        <v>2802</v>
      </c>
      <c r="E716" t="s" s="17">
        <v>2803</v>
      </c>
      <c r="F716" s="18"/>
      <c r="G716" s="19">
        <v>2</v>
      </c>
      <c r="H716" t="s" s="20">
        <v>25</v>
      </c>
      <c r="I716" t="s" s="17">
        <v>42</v>
      </c>
      <c r="J716" s="18"/>
      <c r="K716" t="s" s="17">
        <v>43</v>
      </c>
      <c r="L716" t="s" s="17">
        <v>26</v>
      </c>
      <c r="M716" s="18"/>
      <c r="N716" t="s" s="17">
        <v>662</v>
      </c>
      <c r="O716" t="s" s="20">
        <v>2804</v>
      </c>
      <c r="P716" s="21"/>
      <c r="Q716" s="21"/>
      <c r="R716" s="21"/>
      <c r="S716" s="21"/>
      <c r="T716" s="21"/>
    </row>
    <row r="717" ht="30" customHeight="1">
      <c r="A717" t="s" s="15">
        <v>2805</v>
      </c>
      <c r="B717" s="16">
        <v>2014</v>
      </c>
      <c r="C717" t="s" s="15">
        <v>2806</v>
      </c>
      <c r="D717" t="s" s="17">
        <v>2807</v>
      </c>
      <c r="E717" t="s" s="17">
        <v>2808</v>
      </c>
      <c r="F717" s="18"/>
      <c r="G717" s="19">
        <v>3</v>
      </c>
      <c r="H717" t="s" s="20">
        <v>46</v>
      </c>
      <c r="I717" t="s" s="17">
        <v>2179</v>
      </c>
      <c r="J717" t="s" s="17">
        <v>2130</v>
      </c>
      <c r="K717" s="18"/>
      <c r="L717" s="18"/>
      <c r="M717" s="18"/>
      <c r="N717" s="18"/>
      <c r="O717" s="21"/>
      <c r="P717" s="21"/>
      <c r="Q717" s="21"/>
      <c r="R717" s="21"/>
      <c r="S717" s="21"/>
      <c r="T717" s="21"/>
    </row>
    <row r="718" ht="39.55" customHeight="1">
      <c r="A718" t="s" s="15">
        <v>2809</v>
      </c>
      <c r="B718" s="16">
        <v>2019</v>
      </c>
      <c r="C718" t="s" s="15">
        <v>2810</v>
      </c>
      <c r="D718" t="s" s="17">
        <v>2811</v>
      </c>
      <c r="E718" t="s" s="17">
        <v>2812</v>
      </c>
      <c r="F718" s="18"/>
      <c r="G718" s="19">
        <v>2</v>
      </c>
      <c r="H718" t="s" s="20">
        <v>25</v>
      </c>
      <c r="I718" t="s" s="17">
        <v>26</v>
      </c>
      <c r="J718" t="s" s="17">
        <v>85</v>
      </c>
      <c r="K718" s="18"/>
      <c r="L718" s="18"/>
      <c r="M718" s="18"/>
      <c r="N718" s="18"/>
      <c r="O718" s="21"/>
      <c r="P718" s="21"/>
      <c r="Q718" s="21"/>
      <c r="R718" s="21"/>
      <c r="S718" s="21"/>
      <c r="T718" s="21"/>
    </row>
    <row r="719" ht="30" customHeight="1">
      <c r="A719" t="s" s="15">
        <v>2813</v>
      </c>
      <c r="B719" s="16">
        <v>2017</v>
      </c>
      <c r="C719" t="s" s="15">
        <v>2814</v>
      </c>
      <c r="D719" t="s" s="17">
        <v>2815</v>
      </c>
      <c r="E719" t="s" s="17">
        <v>2816</v>
      </c>
      <c r="F719" s="18"/>
      <c r="G719" s="19">
        <v>3</v>
      </c>
      <c r="H719" t="s" s="20">
        <v>46</v>
      </c>
      <c r="I719" t="s" s="17">
        <v>26</v>
      </c>
      <c r="J719" t="s" s="17">
        <v>93</v>
      </c>
      <c r="K719" t="s" s="17">
        <v>1446</v>
      </c>
      <c r="L719" s="18"/>
      <c r="M719" s="18"/>
      <c r="N719" s="18"/>
      <c r="O719" s="21"/>
      <c r="P719" s="21"/>
      <c r="Q719" s="21"/>
      <c r="R719" s="21"/>
      <c r="S719" s="21"/>
      <c r="T719" s="21"/>
    </row>
    <row r="720" ht="30" customHeight="1">
      <c r="A720" t="s" s="15">
        <v>2817</v>
      </c>
      <c r="B720" s="16">
        <v>2015</v>
      </c>
      <c r="C720" t="s" s="15">
        <v>2818</v>
      </c>
      <c r="D720" t="s" s="17">
        <v>2819</v>
      </c>
      <c r="E720" t="s" s="17">
        <v>2820</v>
      </c>
      <c r="F720" s="18"/>
      <c r="G720" s="19">
        <v>2</v>
      </c>
      <c r="H720" t="s" s="20">
        <v>25</v>
      </c>
      <c r="I720" t="s" s="17">
        <v>26</v>
      </c>
      <c r="J720" t="s" s="17">
        <v>2821</v>
      </c>
      <c r="K720" t="s" s="17">
        <v>1446</v>
      </c>
      <c r="L720" s="18"/>
      <c r="M720" s="18"/>
      <c r="N720" s="18"/>
      <c r="O720" s="21"/>
      <c r="P720" s="21"/>
      <c r="Q720" s="21"/>
      <c r="R720" s="21"/>
      <c r="S720" s="21"/>
      <c r="T720" s="21"/>
    </row>
    <row r="721" ht="30" customHeight="1">
      <c r="A721" t="s" s="15">
        <v>2822</v>
      </c>
      <c r="B721" s="16">
        <v>2019</v>
      </c>
      <c r="C721" t="s" s="15">
        <v>2823</v>
      </c>
      <c r="D721" t="s" s="17">
        <v>2824</v>
      </c>
      <c r="E721" t="s" s="17">
        <v>2825</v>
      </c>
      <c r="F721" s="18"/>
      <c r="G721" s="19">
        <v>3</v>
      </c>
      <c r="H721" t="s" s="20">
        <v>46</v>
      </c>
      <c r="I721" t="s" s="17">
        <v>42</v>
      </c>
      <c r="J721" t="s" s="17">
        <v>85</v>
      </c>
      <c r="K721" t="s" s="17">
        <v>2826</v>
      </c>
      <c r="L721" s="18"/>
      <c r="M721" s="18"/>
      <c r="N721" s="18"/>
      <c r="O721" s="21"/>
      <c r="P721" s="21"/>
      <c r="Q721" s="21"/>
      <c r="R721" s="21"/>
      <c r="S721" s="21"/>
      <c r="T721" s="21"/>
    </row>
    <row r="722" ht="30" customHeight="1">
      <c r="A722" t="s" s="15">
        <v>2827</v>
      </c>
      <c r="B722" s="16">
        <v>2016</v>
      </c>
      <c r="C722" t="s" s="15">
        <v>2828</v>
      </c>
      <c r="D722" t="s" s="17">
        <v>2829</v>
      </c>
      <c r="E722" t="s" s="17">
        <v>2830</v>
      </c>
      <c r="F722" s="18"/>
      <c r="G722" s="19">
        <v>3</v>
      </c>
      <c r="H722" t="s" s="20">
        <v>46</v>
      </c>
      <c r="I722" t="s" s="17">
        <v>26</v>
      </c>
      <c r="J722" t="s" s="17">
        <v>131</v>
      </c>
      <c r="K722" t="s" s="17">
        <v>1446</v>
      </c>
      <c r="L722" s="18"/>
      <c r="M722" s="18"/>
      <c r="N722" s="18"/>
      <c r="O722" s="21"/>
      <c r="P722" s="21"/>
      <c r="Q722" s="21"/>
      <c r="R722" s="21"/>
      <c r="S722" s="21"/>
      <c r="T722" s="21"/>
    </row>
    <row r="723" ht="39.55" customHeight="1">
      <c r="A723" t="s" s="15">
        <v>2831</v>
      </c>
      <c r="B723" s="16">
        <v>2021</v>
      </c>
      <c r="C723" t="s" s="15">
        <v>2832</v>
      </c>
      <c r="D723" t="s" s="17">
        <v>2833</v>
      </c>
      <c r="E723" t="s" s="17">
        <v>2834</v>
      </c>
      <c r="F723" s="18"/>
      <c r="G723" s="19">
        <v>2</v>
      </c>
      <c r="H723" t="s" s="20">
        <v>25</v>
      </c>
      <c r="I723" t="s" s="17">
        <v>42</v>
      </c>
      <c r="J723" t="s" s="17">
        <v>660</v>
      </c>
      <c r="K723" t="s" s="17">
        <v>1346</v>
      </c>
      <c r="L723" s="18"/>
      <c r="M723" s="18"/>
      <c r="N723" s="18"/>
      <c r="O723" s="21"/>
      <c r="P723" s="21"/>
      <c r="Q723" s="21"/>
      <c r="R723" s="21"/>
      <c r="S723" s="21"/>
      <c r="T723" s="21"/>
    </row>
    <row r="724" ht="45" customHeight="1">
      <c r="A724" t="s" s="15">
        <v>2835</v>
      </c>
      <c r="B724" s="16">
        <v>2017</v>
      </c>
      <c r="C724" t="s" s="15">
        <v>2836</v>
      </c>
      <c r="D724" t="s" s="17">
        <v>2837</v>
      </c>
      <c r="E724" t="s" s="17">
        <v>2838</v>
      </c>
      <c r="F724" s="18"/>
      <c r="G724" s="19">
        <v>2</v>
      </c>
      <c r="H724" t="s" s="20">
        <v>25</v>
      </c>
      <c r="I724" t="s" s="17">
        <v>42</v>
      </c>
      <c r="J724" t="s" s="17">
        <v>102</v>
      </c>
      <c r="K724" t="s" s="17">
        <v>2839</v>
      </c>
      <c r="L724" s="18"/>
      <c r="M724" s="18"/>
      <c r="N724" s="18"/>
      <c r="O724" s="21"/>
      <c r="P724" s="21"/>
      <c r="Q724" s="21"/>
      <c r="R724" s="21"/>
      <c r="S724" s="21"/>
      <c r="T724" s="21"/>
    </row>
    <row r="725" ht="30" customHeight="1">
      <c r="A725" t="s" s="15">
        <v>2840</v>
      </c>
      <c r="B725" s="16">
        <v>2020</v>
      </c>
      <c r="C725" t="s" s="15">
        <v>2836</v>
      </c>
      <c r="D725" t="s" s="17">
        <v>2841</v>
      </c>
      <c r="E725" t="s" s="17">
        <v>2842</v>
      </c>
      <c r="F725" s="18"/>
      <c r="G725" s="19">
        <v>3</v>
      </c>
      <c r="H725" t="s" s="20">
        <v>46</v>
      </c>
      <c r="I725" t="s" s="17">
        <v>42</v>
      </c>
      <c r="J725" s="18"/>
      <c r="K725" t="s" s="17">
        <v>1180</v>
      </c>
      <c r="L725" t="s" s="17">
        <v>26</v>
      </c>
      <c r="M725" s="18"/>
      <c r="N725" t="s" s="17">
        <v>2590</v>
      </c>
      <c r="O725" t="s" s="20">
        <v>2231</v>
      </c>
      <c r="P725" s="21"/>
      <c r="Q725" s="21"/>
      <c r="R725" s="21"/>
      <c r="S725" s="21"/>
      <c r="T725" s="21"/>
    </row>
    <row r="726" ht="30" customHeight="1">
      <c r="A726" t="s" s="15">
        <v>2843</v>
      </c>
      <c r="B726" t="s" s="15">
        <v>2844</v>
      </c>
      <c r="C726" t="s" s="15">
        <v>2836</v>
      </c>
      <c r="D726" t="s" s="17">
        <v>2845</v>
      </c>
      <c r="E726" t="s" s="17">
        <v>2846</v>
      </c>
      <c r="F726" s="18"/>
      <c r="G726" s="19">
        <v>3</v>
      </c>
      <c r="H726" t="s" s="20">
        <v>46</v>
      </c>
      <c r="I726" t="s" s="17">
        <v>42</v>
      </c>
      <c r="J726" t="s" s="17">
        <v>391</v>
      </c>
      <c r="K726" t="s" s="17">
        <v>43</v>
      </c>
      <c r="L726" t="s" s="17">
        <v>42</v>
      </c>
      <c r="M726" t="s" s="17">
        <v>212</v>
      </c>
      <c r="N726" s="18"/>
      <c r="O726" s="21"/>
      <c r="P726" t="s" s="20">
        <v>25</v>
      </c>
      <c r="Q726" s="21"/>
      <c r="R726" s="21"/>
      <c r="S726" s="21"/>
      <c r="T726" s="21"/>
    </row>
    <row r="727" ht="39.55" customHeight="1">
      <c r="A727" t="s" s="15">
        <v>2847</v>
      </c>
      <c r="B727" s="16">
        <v>2015</v>
      </c>
      <c r="C727" t="s" s="15">
        <v>2848</v>
      </c>
      <c r="D727" t="s" s="17">
        <v>2849</v>
      </c>
      <c r="E727" t="s" s="17">
        <v>2850</v>
      </c>
      <c r="F727" s="18"/>
      <c r="G727" s="19">
        <v>3</v>
      </c>
      <c r="H727" t="s" s="20">
        <v>46</v>
      </c>
      <c r="I727" t="s" s="17">
        <v>26</v>
      </c>
      <c r="J727" t="s" s="17">
        <v>131</v>
      </c>
      <c r="K727" s="18"/>
      <c r="L727" s="18"/>
      <c r="M727" s="18"/>
      <c r="N727" s="18"/>
      <c r="O727" s="21"/>
      <c r="P727" s="21"/>
      <c r="Q727" s="21"/>
      <c r="R727" s="21"/>
      <c r="S727" s="21"/>
      <c r="T727" s="21"/>
    </row>
    <row r="728" ht="30" customHeight="1">
      <c r="A728" t="s" s="15">
        <v>2851</v>
      </c>
      <c r="B728" s="16">
        <v>2022</v>
      </c>
      <c r="C728" t="s" s="15">
        <v>2852</v>
      </c>
      <c r="D728" t="s" s="17">
        <v>2853</v>
      </c>
      <c r="E728" t="s" s="17">
        <v>2854</v>
      </c>
      <c r="F728" s="18"/>
      <c r="G728" s="19">
        <v>2</v>
      </c>
      <c r="H728" t="s" s="20">
        <v>25</v>
      </c>
      <c r="I728" t="s" s="17">
        <v>26</v>
      </c>
      <c r="J728" t="s" s="17">
        <v>885</v>
      </c>
      <c r="K728" t="s" s="17">
        <v>886</v>
      </c>
      <c r="L728" s="18"/>
      <c r="M728" s="18"/>
      <c r="N728" s="18"/>
      <c r="O728" s="21"/>
      <c r="P728" s="21"/>
      <c r="Q728" s="21"/>
      <c r="R728" s="21"/>
      <c r="S728" s="21"/>
      <c r="T728" s="21"/>
    </row>
    <row r="729" ht="30" customHeight="1">
      <c r="A729" t="s" s="15">
        <v>2855</v>
      </c>
      <c r="B729" s="16">
        <v>2015</v>
      </c>
      <c r="C729" t="s" s="15">
        <v>2856</v>
      </c>
      <c r="D729" t="s" s="17">
        <v>2857</v>
      </c>
      <c r="E729" t="s" s="17">
        <v>2858</v>
      </c>
      <c r="F729" s="18"/>
      <c r="G729" s="19">
        <v>2</v>
      </c>
      <c r="H729" t="s" s="20">
        <v>25</v>
      </c>
      <c r="I729" t="s" s="17">
        <v>26</v>
      </c>
      <c r="J729" t="s" s="17">
        <v>1929</v>
      </c>
      <c r="K729" s="18"/>
      <c r="L729" s="18"/>
      <c r="M729" s="18"/>
      <c r="N729" s="18"/>
      <c r="O729" s="21"/>
      <c r="P729" s="21"/>
      <c r="Q729" s="21"/>
      <c r="R729" s="21"/>
      <c r="S729" s="21"/>
      <c r="T729" s="21"/>
    </row>
    <row r="730" ht="26.55" customHeight="1">
      <c r="A730" t="s" s="15">
        <v>2859</v>
      </c>
      <c r="B730" s="16">
        <v>2005</v>
      </c>
      <c r="C730" t="s" s="15">
        <v>2860</v>
      </c>
      <c r="D730" t="s" s="17">
        <v>2861</v>
      </c>
      <c r="E730" t="s" s="17">
        <v>2862</v>
      </c>
      <c r="F730" s="18"/>
      <c r="G730" s="19">
        <v>2</v>
      </c>
      <c r="H730" t="s" s="20">
        <v>25</v>
      </c>
      <c r="I730" t="s" s="17">
        <v>26</v>
      </c>
      <c r="J730" t="s" s="17">
        <v>102</v>
      </c>
      <c r="K730" t="s" s="17">
        <v>86</v>
      </c>
      <c r="L730" s="18"/>
      <c r="M730" s="18"/>
      <c r="N730" s="18"/>
      <c r="O730" s="21"/>
      <c r="P730" s="21"/>
      <c r="Q730" s="21"/>
      <c r="R730" s="21"/>
      <c r="S730" s="21"/>
      <c r="T730" s="21"/>
    </row>
    <row r="731" ht="39.55" customHeight="1">
      <c r="A731" t="s" s="15">
        <v>2863</v>
      </c>
      <c r="B731" s="16">
        <v>2006</v>
      </c>
      <c r="C731" t="s" s="15">
        <v>2860</v>
      </c>
      <c r="D731" t="s" s="17">
        <v>2864</v>
      </c>
      <c r="E731" s="18"/>
      <c r="F731" s="18"/>
      <c r="G731" s="19">
        <v>2</v>
      </c>
      <c r="H731" t="s" s="20">
        <v>25</v>
      </c>
      <c r="I731" t="s" s="17">
        <v>26</v>
      </c>
      <c r="J731" t="s" s="17">
        <v>1303</v>
      </c>
      <c r="K731" t="s" s="17">
        <v>86</v>
      </c>
      <c r="L731" s="18"/>
      <c r="M731" s="18"/>
      <c r="N731" s="18"/>
      <c r="O731" s="21"/>
      <c r="P731" s="21"/>
      <c r="Q731" s="21"/>
      <c r="R731" s="21"/>
      <c r="S731" s="21"/>
      <c r="T731" s="21"/>
    </row>
    <row r="732" ht="30" customHeight="1">
      <c r="A732" t="s" s="15">
        <v>2865</v>
      </c>
      <c r="B732" s="16">
        <v>2006</v>
      </c>
      <c r="C732" t="s" s="15">
        <v>2860</v>
      </c>
      <c r="D732" t="s" s="17">
        <v>2864</v>
      </c>
      <c r="E732" s="18"/>
      <c r="F732" s="18"/>
      <c r="G732" s="19">
        <v>2</v>
      </c>
      <c r="H732" t="s" s="20">
        <v>25</v>
      </c>
      <c r="I732" t="s" s="17">
        <v>26</v>
      </c>
      <c r="J732" t="s" s="17">
        <v>2821</v>
      </c>
      <c r="K732" s="18"/>
      <c r="L732" s="18"/>
      <c r="M732" s="18"/>
      <c r="N732" s="18"/>
      <c r="O732" s="21"/>
      <c r="P732" s="21"/>
      <c r="Q732" s="21"/>
      <c r="R732" s="21"/>
      <c r="S732" s="21"/>
      <c r="T732" s="21"/>
    </row>
    <row r="733" ht="30" customHeight="1">
      <c r="A733" t="s" s="15">
        <v>2866</v>
      </c>
      <c r="B733" s="16">
        <v>2010</v>
      </c>
      <c r="C733" t="s" s="15">
        <v>2860</v>
      </c>
      <c r="D733" t="s" s="17">
        <v>2867</v>
      </c>
      <c r="E733" t="s" s="17">
        <v>2868</v>
      </c>
      <c r="F733" s="18"/>
      <c r="G733" s="19">
        <v>2</v>
      </c>
      <c r="H733" t="s" s="20">
        <v>25</v>
      </c>
      <c r="I733" t="s" s="17">
        <v>26</v>
      </c>
      <c r="J733" t="s" s="17">
        <v>31</v>
      </c>
      <c r="K733" s="18"/>
      <c r="L733" s="18"/>
      <c r="M733" s="18"/>
      <c r="N733" s="18"/>
      <c r="O733" s="21"/>
      <c r="P733" s="21"/>
      <c r="Q733" s="21"/>
      <c r="R733" s="21"/>
      <c r="S733" s="21"/>
      <c r="T733" s="21"/>
    </row>
    <row r="734" ht="13.55" customHeight="1">
      <c r="A734" t="s" s="15">
        <v>2869</v>
      </c>
      <c r="B734" s="16">
        <v>2011</v>
      </c>
      <c r="C734" t="s" s="15">
        <v>2860</v>
      </c>
      <c r="D734" t="s" s="17">
        <v>2870</v>
      </c>
      <c r="E734" t="s" s="17">
        <v>2871</v>
      </c>
      <c r="F734" s="18"/>
      <c r="G734" s="19">
        <v>2</v>
      </c>
      <c r="H734" t="s" s="20">
        <v>25</v>
      </c>
      <c r="I734" t="s" s="17">
        <v>26</v>
      </c>
      <c r="J734" t="s" s="17">
        <v>31</v>
      </c>
      <c r="K734" t="s" s="17">
        <v>86</v>
      </c>
      <c r="L734" s="18"/>
      <c r="M734" s="18"/>
      <c r="N734" s="18"/>
      <c r="O734" s="21"/>
      <c r="P734" s="21"/>
      <c r="Q734" s="21"/>
      <c r="R734" s="21"/>
      <c r="S734" s="21"/>
      <c r="T734" s="21"/>
    </row>
    <row r="735" ht="13.55" customHeight="1">
      <c r="A735" t="s" s="15">
        <v>2872</v>
      </c>
      <c r="B735" s="16">
        <v>2019</v>
      </c>
      <c r="C735" t="s" s="15">
        <v>2860</v>
      </c>
      <c r="D735" t="s" s="17">
        <v>2873</v>
      </c>
      <c r="E735" t="s" s="17">
        <v>2874</v>
      </c>
      <c r="F735" s="18"/>
      <c r="G735" s="19">
        <v>3</v>
      </c>
      <c r="H735" t="s" s="20">
        <v>46</v>
      </c>
      <c r="I735" t="s" s="17">
        <v>26</v>
      </c>
      <c r="J735" t="s" s="17">
        <v>31</v>
      </c>
      <c r="K735" t="s" s="17">
        <v>467</v>
      </c>
      <c r="L735" s="18"/>
      <c r="M735" s="18"/>
      <c r="N735" s="18"/>
      <c r="O735" s="21"/>
      <c r="P735" s="21"/>
      <c r="Q735" s="21"/>
      <c r="R735" s="21"/>
      <c r="S735" s="21"/>
      <c r="T735" s="21"/>
    </row>
    <row r="736" ht="30" customHeight="1">
      <c r="A736" t="s" s="15">
        <v>2875</v>
      </c>
      <c r="B736" s="16">
        <v>2007</v>
      </c>
      <c r="C736" t="s" s="15">
        <v>2876</v>
      </c>
      <c r="D736" t="s" s="17">
        <v>2877</v>
      </c>
      <c r="E736" t="s" s="17">
        <v>2878</v>
      </c>
      <c r="F736" s="18"/>
      <c r="G736" s="19">
        <v>3</v>
      </c>
      <c r="H736" t="s" s="20">
        <v>46</v>
      </c>
      <c r="I736" t="s" s="17">
        <v>26</v>
      </c>
      <c r="J736" t="s" s="17">
        <v>2351</v>
      </c>
      <c r="K736" s="18"/>
      <c r="L736" s="18"/>
      <c r="M736" s="18"/>
      <c r="N736" s="18"/>
      <c r="O736" s="21"/>
      <c r="P736" s="21"/>
      <c r="Q736" s="21"/>
      <c r="R736" s="21"/>
      <c r="S736" s="21"/>
      <c r="T736" s="21"/>
    </row>
    <row r="737" ht="30" customHeight="1">
      <c r="A737" t="s" s="15">
        <v>2879</v>
      </c>
      <c r="B737" s="16">
        <v>2016</v>
      </c>
      <c r="C737" t="s" s="15">
        <v>2880</v>
      </c>
      <c r="D737" t="s" s="17">
        <v>2881</v>
      </c>
      <c r="E737" t="s" s="17">
        <v>2882</v>
      </c>
      <c r="F737" s="18"/>
      <c r="G737" s="19">
        <v>3</v>
      </c>
      <c r="H737" t="s" s="20">
        <v>46</v>
      </c>
      <c r="I737" t="s" s="17">
        <v>42</v>
      </c>
      <c r="J737" s="18"/>
      <c r="K737" t="s" s="17">
        <v>43</v>
      </c>
      <c r="L737" t="s" s="17">
        <v>42</v>
      </c>
      <c r="M737" t="s" s="17">
        <v>44</v>
      </c>
      <c r="N737" s="18"/>
      <c r="O737" s="21"/>
      <c r="P737" t="s" s="20">
        <v>25</v>
      </c>
      <c r="Q737" s="21"/>
      <c r="R737" s="21"/>
      <c r="S737" s="21"/>
      <c r="T737" s="21"/>
    </row>
    <row r="738" ht="30" customHeight="1">
      <c r="A738" t="s" s="15">
        <v>2883</v>
      </c>
      <c r="B738" s="16">
        <v>2018</v>
      </c>
      <c r="C738" t="s" s="15">
        <v>2880</v>
      </c>
      <c r="D738" t="s" s="17">
        <v>2884</v>
      </c>
      <c r="E738" t="s" s="17">
        <v>2885</v>
      </c>
      <c r="F738" s="18"/>
      <c r="G738" s="19">
        <v>3</v>
      </c>
      <c r="H738" t="s" s="20">
        <v>46</v>
      </c>
      <c r="I738" t="s" s="17">
        <v>26</v>
      </c>
      <c r="J738" t="s" s="17">
        <v>2351</v>
      </c>
      <c r="K738" s="18"/>
      <c r="L738" s="18"/>
      <c r="M738" s="18"/>
      <c r="N738" s="18"/>
      <c r="O738" s="21"/>
      <c r="P738" s="21"/>
      <c r="Q738" s="21"/>
      <c r="R738" s="21"/>
      <c r="S738" s="21"/>
      <c r="T738" s="21"/>
    </row>
    <row r="739" ht="30" customHeight="1">
      <c r="A739" t="s" s="15">
        <v>2886</v>
      </c>
      <c r="B739" s="16">
        <v>2022</v>
      </c>
      <c r="C739" t="s" s="15">
        <v>2887</v>
      </c>
      <c r="D739" t="s" s="17">
        <v>2888</v>
      </c>
      <c r="E739" t="s" s="17">
        <v>2889</v>
      </c>
      <c r="F739" s="18"/>
      <c r="G739" s="19">
        <v>3</v>
      </c>
      <c r="H739" t="s" s="20">
        <v>46</v>
      </c>
      <c r="I739" t="s" s="17">
        <v>26</v>
      </c>
      <c r="J739" t="s" s="17">
        <v>93</v>
      </c>
      <c r="K739" t="s" s="17">
        <v>2890</v>
      </c>
      <c r="L739" s="18"/>
      <c r="M739" s="18"/>
      <c r="N739" s="18"/>
      <c r="O739" s="21"/>
      <c r="P739" s="21"/>
      <c r="Q739" s="21"/>
      <c r="R739" s="21"/>
      <c r="S739" s="21"/>
      <c r="T739" s="21"/>
    </row>
    <row r="740" ht="30" customHeight="1">
      <c r="A740" t="s" s="15">
        <v>2891</v>
      </c>
      <c r="B740" s="16">
        <v>2022</v>
      </c>
      <c r="C740" t="s" s="15">
        <v>2892</v>
      </c>
      <c r="D740" t="s" s="17">
        <v>2893</v>
      </c>
      <c r="E740" t="s" s="17">
        <v>2894</v>
      </c>
      <c r="F740" s="18"/>
      <c r="G740" s="19">
        <v>2</v>
      </c>
      <c r="H740" t="s" s="20">
        <v>25</v>
      </c>
      <c r="I740" t="s" s="17">
        <v>26</v>
      </c>
      <c r="J740" t="s" s="17">
        <v>970</v>
      </c>
      <c r="K740" t="s" s="17">
        <v>86</v>
      </c>
      <c r="L740" s="18"/>
      <c r="M740" s="18"/>
      <c r="N740" s="18"/>
      <c r="O740" s="21"/>
      <c r="P740" s="21"/>
      <c r="Q740" s="21"/>
      <c r="R740" s="21"/>
      <c r="S740" s="21"/>
      <c r="T740" s="21"/>
    </row>
    <row r="741" ht="30" customHeight="1">
      <c r="A741" t="s" s="15">
        <v>2895</v>
      </c>
      <c r="B741" s="16">
        <v>2006</v>
      </c>
      <c r="C741" t="s" s="15">
        <v>2896</v>
      </c>
      <c r="D741" t="s" s="17">
        <v>2897</v>
      </c>
      <c r="E741" t="s" s="17">
        <v>2898</v>
      </c>
      <c r="F741" s="18"/>
      <c r="G741" s="19">
        <v>2</v>
      </c>
      <c r="H741" t="s" s="20">
        <v>25</v>
      </c>
      <c r="I741" t="s" s="17">
        <v>26</v>
      </c>
      <c r="J741" t="s" s="17">
        <v>52</v>
      </c>
      <c r="K741" t="s" s="17">
        <v>86</v>
      </c>
      <c r="L741" s="18"/>
      <c r="M741" s="18"/>
      <c r="N741" s="18"/>
      <c r="O741" s="21"/>
      <c r="P741" s="21"/>
      <c r="Q741" s="21"/>
      <c r="R741" s="21"/>
      <c r="S741" s="21"/>
      <c r="T741" s="21"/>
    </row>
    <row r="742" ht="26.55" customHeight="1">
      <c r="A742" t="s" s="15">
        <v>2899</v>
      </c>
      <c r="B742" s="16">
        <v>2011</v>
      </c>
      <c r="C742" t="s" s="15">
        <v>2900</v>
      </c>
      <c r="D742" t="s" s="17">
        <v>2901</v>
      </c>
      <c r="E742" t="s" s="17">
        <v>2902</v>
      </c>
      <c r="F742" s="18"/>
      <c r="G742" s="19">
        <v>2</v>
      </c>
      <c r="H742" t="s" s="20">
        <v>25</v>
      </c>
      <c r="I742" t="s" s="17">
        <v>26</v>
      </c>
      <c r="J742" t="s" s="17">
        <v>970</v>
      </c>
      <c r="K742" t="s" s="17">
        <v>86</v>
      </c>
      <c r="L742" s="18"/>
      <c r="M742" s="18"/>
      <c r="N742" s="18"/>
      <c r="O742" s="21"/>
      <c r="P742" s="21"/>
      <c r="Q742" s="21"/>
      <c r="R742" s="21"/>
      <c r="S742" s="21"/>
      <c r="T742" s="21"/>
    </row>
    <row r="743" ht="30" customHeight="1">
      <c r="A743" t="s" s="15">
        <v>2903</v>
      </c>
      <c r="B743" s="16">
        <v>2008</v>
      </c>
      <c r="C743" t="s" s="15">
        <v>2904</v>
      </c>
      <c r="D743" t="s" s="17">
        <v>2905</v>
      </c>
      <c r="E743" t="s" s="17">
        <v>2906</v>
      </c>
      <c r="F743" s="18"/>
      <c r="G743" s="19">
        <v>2</v>
      </c>
      <c r="H743" t="s" s="20">
        <v>25</v>
      </c>
      <c r="I743" t="s" s="17">
        <v>26</v>
      </c>
      <c r="J743" t="s" s="17">
        <v>2907</v>
      </c>
      <c r="K743" t="s" s="17">
        <v>86</v>
      </c>
      <c r="L743" s="18"/>
      <c r="M743" s="18"/>
      <c r="N743" s="18"/>
      <c r="O743" s="21"/>
      <c r="P743" s="21"/>
      <c r="Q743" s="21"/>
      <c r="R743" s="21"/>
      <c r="S743" s="21"/>
      <c r="T743" s="21"/>
    </row>
    <row r="744" ht="30" customHeight="1">
      <c r="A744" t="s" s="15">
        <v>2908</v>
      </c>
      <c r="B744" s="16">
        <v>2007</v>
      </c>
      <c r="C744" t="s" s="15">
        <v>2909</v>
      </c>
      <c r="D744" t="s" s="17">
        <v>2910</v>
      </c>
      <c r="E744" t="s" s="17">
        <v>2911</v>
      </c>
      <c r="F744" s="18"/>
      <c r="G744" s="19">
        <v>2</v>
      </c>
      <c r="H744" t="s" s="20">
        <v>25</v>
      </c>
      <c r="I744" t="s" s="17">
        <v>26</v>
      </c>
      <c r="J744" t="s" s="17">
        <v>85</v>
      </c>
      <c r="K744" s="18"/>
      <c r="L744" s="18"/>
      <c r="M744" s="18"/>
      <c r="N744" s="18"/>
      <c r="O744" s="21"/>
      <c r="P744" s="21"/>
      <c r="Q744" s="21"/>
      <c r="R744" s="21"/>
      <c r="S744" s="21"/>
      <c r="T744" s="21"/>
    </row>
    <row r="745" ht="30" customHeight="1">
      <c r="A745" t="s" s="15">
        <v>2912</v>
      </c>
      <c r="B745" s="16">
        <v>2016</v>
      </c>
      <c r="C745" t="s" s="15">
        <v>2913</v>
      </c>
      <c r="D745" t="s" s="17">
        <v>2914</v>
      </c>
      <c r="E745" t="s" s="17">
        <v>2915</v>
      </c>
      <c r="F745" s="18"/>
      <c r="G745" s="19">
        <v>2</v>
      </c>
      <c r="H745" t="s" s="20">
        <v>25</v>
      </c>
      <c r="I745" t="s" s="17">
        <v>26</v>
      </c>
      <c r="J745" t="s" s="17">
        <v>970</v>
      </c>
      <c r="K745" t="s" s="17">
        <v>86</v>
      </c>
      <c r="L745" s="18"/>
      <c r="M745" s="18"/>
      <c r="N745" s="18"/>
      <c r="O745" s="21"/>
      <c r="P745" s="21"/>
      <c r="Q745" s="21"/>
      <c r="R745" s="21"/>
      <c r="S745" s="21"/>
      <c r="T745" s="21"/>
    </row>
    <row r="746" ht="39.55" customHeight="1">
      <c r="A746" t="s" s="15">
        <v>2916</v>
      </c>
      <c r="B746" s="16">
        <v>2014</v>
      </c>
      <c r="C746" t="s" s="15">
        <v>2917</v>
      </c>
      <c r="D746" t="s" s="17">
        <v>2918</v>
      </c>
      <c r="E746" t="s" s="17">
        <v>2919</v>
      </c>
      <c r="F746" s="18"/>
      <c r="G746" s="19">
        <v>3</v>
      </c>
      <c r="H746" t="s" s="20">
        <v>46</v>
      </c>
      <c r="I746" t="s" s="17">
        <v>26</v>
      </c>
      <c r="J746" t="s" s="17">
        <v>31</v>
      </c>
      <c r="K746" t="s" s="17">
        <v>886</v>
      </c>
      <c r="L746" s="18"/>
      <c r="M746" s="18"/>
      <c r="N746" s="18"/>
      <c r="O746" s="21"/>
      <c r="P746" s="21"/>
      <c r="Q746" s="21"/>
      <c r="R746" s="21"/>
      <c r="S746" s="21"/>
      <c r="T746" s="21"/>
    </row>
    <row r="747" ht="30" customHeight="1">
      <c r="A747" t="s" s="15">
        <v>2920</v>
      </c>
      <c r="B747" s="16">
        <v>2005</v>
      </c>
      <c r="C747" t="s" s="15">
        <v>2921</v>
      </c>
      <c r="D747" t="s" s="17">
        <v>2922</v>
      </c>
      <c r="E747" t="s" s="17">
        <v>2923</v>
      </c>
      <c r="F747" s="18"/>
      <c r="G747" s="19">
        <v>3</v>
      </c>
      <c r="H747" t="s" s="20">
        <v>46</v>
      </c>
      <c r="I747" t="s" s="17">
        <v>26</v>
      </c>
      <c r="J747" t="s" s="17">
        <v>85</v>
      </c>
      <c r="K747" s="18"/>
      <c r="L747" s="18"/>
      <c r="M747" s="18"/>
      <c r="N747" s="18"/>
      <c r="O747" s="21"/>
      <c r="P747" s="21"/>
      <c r="Q747" s="21"/>
      <c r="R747" s="21"/>
      <c r="S747" s="21"/>
      <c r="T747" s="21"/>
    </row>
    <row r="748" ht="30" customHeight="1">
      <c r="A748" t="s" s="15">
        <v>2924</v>
      </c>
      <c r="B748" s="16">
        <v>2016</v>
      </c>
      <c r="C748" t="s" s="15">
        <v>2921</v>
      </c>
      <c r="D748" t="s" s="17">
        <v>2925</v>
      </c>
      <c r="E748" t="s" s="17">
        <v>2926</v>
      </c>
      <c r="F748" s="18"/>
      <c r="G748" s="19">
        <v>3</v>
      </c>
      <c r="H748" t="s" s="20">
        <v>46</v>
      </c>
      <c r="I748" t="s" s="17">
        <v>42</v>
      </c>
      <c r="J748" s="18"/>
      <c r="K748" t="s" s="17">
        <v>43</v>
      </c>
      <c r="L748" t="s" s="17">
        <v>42</v>
      </c>
      <c r="M748" t="s" s="17">
        <v>212</v>
      </c>
      <c r="N748" s="18"/>
      <c r="O748" s="21"/>
      <c r="P748" t="s" s="20">
        <v>25</v>
      </c>
      <c r="Q748" s="21"/>
      <c r="R748" s="21"/>
      <c r="S748" s="21"/>
      <c r="T748" s="21"/>
    </row>
    <row r="749" ht="30" customHeight="1">
      <c r="A749" t="s" s="15">
        <v>2927</v>
      </c>
      <c r="B749" s="16">
        <v>2021</v>
      </c>
      <c r="C749" t="s" s="15">
        <v>2921</v>
      </c>
      <c r="D749" t="s" s="17">
        <v>2928</v>
      </c>
      <c r="E749" t="s" s="17">
        <v>2929</v>
      </c>
      <c r="F749" s="18"/>
      <c r="G749" s="19">
        <v>3</v>
      </c>
      <c r="H749" t="s" s="20">
        <v>46</v>
      </c>
      <c r="I749" t="s" s="17">
        <v>42</v>
      </c>
      <c r="J749" s="18"/>
      <c r="K749" t="s" s="17">
        <v>2930</v>
      </c>
      <c r="L749" t="s" s="17">
        <v>42</v>
      </c>
      <c r="M749" t="s" s="17">
        <v>505</v>
      </c>
      <c r="N749" s="18"/>
      <c r="O749" s="21"/>
      <c r="P749" t="s" s="20">
        <v>25</v>
      </c>
      <c r="Q749" s="21"/>
      <c r="R749" s="21"/>
      <c r="S749" s="21"/>
      <c r="T749" s="21"/>
    </row>
    <row r="750" ht="26.55" customHeight="1">
      <c r="A750" t="s" s="15">
        <v>2931</v>
      </c>
      <c r="B750" s="16">
        <v>2009</v>
      </c>
      <c r="C750" t="s" s="15">
        <v>2932</v>
      </c>
      <c r="D750" t="s" s="17">
        <v>2933</v>
      </c>
      <c r="E750" t="s" s="17">
        <v>2934</v>
      </c>
      <c r="F750" s="18"/>
      <c r="G750" s="19">
        <v>2</v>
      </c>
      <c r="H750" t="s" s="20">
        <v>25</v>
      </c>
      <c r="I750" t="s" s="17">
        <v>26</v>
      </c>
      <c r="J750" t="s" s="17">
        <v>660</v>
      </c>
      <c r="K750" t="s" s="17">
        <v>661</v>
      </c>
      <c r="L750" t="s" s="17">
        <v>26</v>
      </c>
      <c r="M750" s="18"/>
      <c r="N750" t="s" s="17">
        <v>662</v>
      </c>
      <c r="O750" t="s" s="20">
        <v>2935</v>
      </c>
      <c r="P750" s="21"/>
      <c r="Q750" s="21"/>
      <c r="R750" s="21"/>
      <c r="S750" s="21"/>
      <c r="T750" s="21"/>
    </row>
    <row r="751" ht="45" customHeight="1">
      <c r="A751" t="s" s="15">
        <v>2936</v>
      </c>
      <c r="B751" s="16">
        <v>2011</v>
      </c>
      <c r="C751" t="s" s="15">
        <v>2932</v>
      </c>
      <c r="D751" t="s" s="17">
        <v>2937</v>
      </c>
      <c r="E751" t="s" s="17">
        <v>2938</v>
      </c>
      <c r="F751" s="18"/>
      <c r="G751" s="19">
        <v>2</v>
      </c>
      <c r="H751" t="s" s="20">
        <v>25</v>
      </c>
      <c r="I751" t="s" s="17">
        <v>42</v>
      </c>
      <c r="J751" s="18"/>
      <c r="K751" t="s" s="17">
        <v>43</v>
      </c>
      <c r="L751" t="s" s="17">
        <v>42</v>
      </c>
      <c r="M751" t="s" s="17">
        <v>44</v>
      </c>
      <c r="N751" s="18"/>
      <c r="O751" s="21"/>
      <c r="P751" t="s" s="20">
        <v>46</v>
      </c>
      <c r="Q751" t="s" s="20">
        <v>277</v>
      </c>
      <c r="R751" s="21"/>
      <c r="S751" t="s" s="20">
        <v>47</v>
      </c>
      <c r="T751" t="s" s="20">
        <v>2939</v>
      </c>
    </row>
    <row r="752" ht="30" customHeight="1">
      <c r="A752" t="s" s="15">
        <v>2940</v>
      </c>
      <c r="B752" s="16">
        <v>2013</v>
      </c>
      <c r="C752" t="s" s="15">
        <v>2932</v>
      </c>
      <c r="D752" t="s" s="17">
        <v>2941</v>
      </c>
      <c r="E752" t="s" s="17">
        <v>2942</v>
      </c>
      <c r="F752" s="18"/>
      <c r="G752" s="19">
        <v>3</v>
      </c>
      <c r="H752" t="s" s="20">
        <v>46</v>
      </c>
      <c r="I752" t="s" s="17">
        <v>42</v>
      </c>
      <c r="J752" s="18"/>
      <c r="K752" t="s" s="17">
        <v>2930</v>
      </c>
      <c r="L752" t="s" s="17">
        <v>42</v>
      </c>
      <c r="M752" t="s" s="17">
        <v>44</v>
      </c>
      <c r="N752" s="18"/>
      <c r="O752" s="21"/>
      <c r="P752" t="s" s="20">
        <v>46</v>
      </c>
      <c r="Q752" t="s" s="20">
        <v>277</v>
      </c>
      <c r="R752" s="21"/>
      <c r="S752" t="s" s="20">
        <v>277</v>
      </c>
      <c r="T752" s="21"/>
    </row>
    <row r="753" ht="30" customHeight="1">
      <c r="A753" t="s" s="15">
        <v>2943</v>
      </c>
      <c r="B753" s="16">
        <v>2019</v>
      </c>
      <c r="C753" t="s" s="15">
        <v>2944</v>
      </c>
      <c r="D753" t="s" s="17">
        <v>2945</v>
      </c>
      <c r="E753" t="s" s="17">
        <v>2946</v>
      </c>
      <c r="F753" s="18"/>
      <c r="G753" s="19">
        <v>3</v>
      </c>
      <c r="H753" t="s" s="20">
        <v>46</v>
      </c>
      <c r="I753" t="s" s="17">
        <v>26</v>
      </c>
      <c r="J753" t="s" s="17">
        <v>102</v>
      </c>
      <c r="K753" s="18"/>
      <c r="L753" s="18"/>
      <c r="M753" s="18"/>
      <c r="N753" s="18"/>
      <c r="O753" s="21"/>
      <c r="P753" s="21"/>
      <c r="Q753" s="21"/>
      <c r="R753" s="21"/>
      <c r="S753" s="21"/>
      <c r="T753" s="21"/>
    </row>
    <row r="754" ht="30" customHeight="1">
      <c r="A754" t="s" s="15">
        <v>2947</v>
      </c>
      <c r="B754" s="16">
        <v>2014</v>
      </c>
      <c r="C754" t="s" s="15">
        <v>2948</v>
      </c>
      <c r="D754" t="s" s="17">
        <v>2949</v>
      </c>
      <c r="E754" t="s" s="17">
        <v>2950</v>
      </c>
      <c r="F754" s="18"/>
      <c r="G754" s="19">
        <v>3</v>
      </c>
      <c r="H754" t="s" s="20">
        <v>46</v>
      </c>
      <c r="I754" t="s" s="17">
        <v>26</v>
      </c>
      <c r="J754" t="s" s="17">
        <v>630</v>
      </c>
      <c r="K754" s="18"/>
      <c r="L754" s="18"/>
      <c r="M754" s="18"/>
      <c r="N754" s="18"/>
      <c r="O754" s="21"/>
      <c r="P754" s="21"/>
      <c r="Q754" s="21"/>
      <c r="R754" s="21"/>
      <c r="S754" s="21"/>
      <c r="T754" s="21"/>
    </row>
    <row r="755" ht="26.55" customHeight="1">
      <c r="A755" t="s" s="15">
        <v>2951</v>
      </c>
      <c r="B755" s="16">
        <v>2012</v>
      </c>
      <c r="C755" t="s" s="15">
        <v>2952</v>
      </c>
      <c r="D755" t="s" s="17">
        <v>2953</v>
      </c>
      <c r="E755" t="s" s="17">
        <v>2954</v>
      </c>
      <c r="F755" s="18"/>
      <c r="G755" s="19">
        <v>3</v>
      </c>
      <c r="H755" t="s" s="20">
        <v>46</v>
      </c>
      <c r="I755" t="s" s="17">
        <v>42</v>
      </c>
      <c r="J755" s="18"/>
      <c r="K755" t="s" s="17">
        <v>2930</v>
      </c>
      <c r="L755" t="s" s="17">
        <v>42</v>
      </c>
      <c r="M755" t="s" s="17">
        <v>44</v>
      </c>
      <c r="N755" s="18"/>
      <c r="O755" s="21"/>
      <c r="P755" t="s" s="20">
        <v>25</v>
      </c>
      <c r="Q755" s="21"/>
      <c r="R755" s="21"/>
      <c r="S755" s="21"/>
      <c r="T755" s="21"/>
    </row>
    <row r="756" ht="30" customHeight="1">
      <c r="A756" t="s" s="15">
        <v>2955</v>
      </c>
      <c r="B756" s="16">
        <v>2022</v>
      </c>
      <c r="C756" t="s" s="15">
        <v>2956</v>
      </c>
      <c r="D756" t="s" s="17">
        <v>2957</v>
      </c>
      <c r="E756" s="18"/>
      <c r="F756" s="18"/>
      <c r="G756" s="19">
        <v>2</v>
      </c>
      <c r="H756" t="s" s="20">
        <v>25</v>
      </c>
      <c r="I756" t="s" s="17">
        <v>26</v>
      </c>
      <c r="J756" t="s" s="17">
        <v>119</v>
      </c>
      <c r="K756" s="18"/>
      <c r="L756" s="18"/>
      <c r="M756" s="18"/>
      <c r="N756" s="18"/>
      <c r="O756" s="21"/>
      <c r="P756" s="21"/>
      <c r="Q756" s="21"/>
      <c r="R756" s="21"/>
      <c r="S756" s="21"/>
      <c r="T756" s="21"/>
    </row>
    <row r="757" ht="30" customHeight="1">
      <c r="A757" t="s" s="15">
        <v>2958</v>
      </c>
      <c r="B757" s="16">
        <v>2008</v>
      </c>
      <c r="C757" t="s" s="15">
        <v>2959</v>
      </c>
      <c r="D757" t="s" s="17">
        <v>2960</v>
      </c>
      <c r="E757" t="s" s="17">
        <v>2961</v>
      </c>
      <c r="F757" s="18"/>
      <c r="G757" s="19">
        <v>3</v>
      </c>
      <c r="H757" t="s" s="20">
        <v>46</v>
      </c>
      <c r="I757" t="s" s="17">
        <v>26</v>
      </c>
      <c r="J757" t="s" s="17">
        <v>31</v>
      </c>
      <c r="K757" t="s" s="17">
        <v>2962</v>
      </c>
      <c r="L757" s="18"/>
      <c r="M757" s="18"/>
      <c r="N757" s="18"/>
      <c r="O757" s="21"/>
      <c r="P757" s="21"/>
      <c r="Q757" s="21"/>
      <c r="R757" s="21"/>
      <c r="S757" s="21"/>
      <c r="T757" s="21"/>
    </row>
    <row r="758" ht="30" customHeight="1">
      <c r="A758" t="s" s="15">
        <v>2963</v>
      </c>
      <c r="B758" s="16">
        <v>2021</v>
      </c>
      <c r="C758" t="s" s="15">
        <v>2964</v>
      </c>
      <c r="D758" t="s" s="17">
        <v>2965</v>
      </c>
      <c r="E758" t="s" s="17">
        <v>2966</v>
      </c>
      <c r="F758" s="18"/>
      <c r="G758" s="19">
        <v>3</v>
      </c>
      <c r="H758" t="s" s="20">
        <v>25</v>
      </c>
      <c r="I758" t="s" s="17">
        <v>26</v>
      </c>
      <c r="J758" t="s" s="17">
        <v>93</v>
      </c>
      <c r="K758" s="18"/>
      <c r="L758" s="18"/>
      <c r="M758" s="18"/>
      <c r="N758" s="18"/>
      <c r="O758" s="21"/>
      <c r="P758" s="21"/>
      <c r="Q758" s="21"/>
      <c r="R758" s="21"/>
      <c r="S758" s="21"/>
      <c r="T758" s="21"/>
    </row>
    <row r="759" ht="30" customHeight="1">
      <c r="A759" t="s" s="15">
        <v>2967</v>
      </c>
      <c r="B759" s="16">
        <v>2021</v>
      </c>
      <c r="C759" t="s" s="15">
        <v>2968</v>
      </c>
      <c r="D759" t="s" s="17">
        <v>2969</v>
      </c>
      <c r="E759" t="s" s="17">
        <v>2970</v>
      </c>
      <c r="F759" s="18"/>
      <c r="G759" s="19">
        <v>2</v>
      </c>
      <c r="H759" t="s" s="20">
        <v>25</v>
      </c>
      <c r="I759" t="s" s="17">
        <v>26</v>
      </c>
      <c r="J759" t="s" s="17">
        <v>2971</v>
      </c>
      <c r="K759" s="18"/>
      <c r="L759" s="18"/>
      <c r="M759" s="18"/>
      <c r="N759" s="18"/>
      <c r="O759" s="21"/>
      <c r="P759" s="21"/>
      <c r="Q759" s="21"/>
      <c r="R759" s="21"/>
      <c r="S759" s="21"/>
      <c r="T759" s="21"/>
    </row>
    <row r="760" ht="26.55" customHeight="1">
      <c r="A760" t="s" s="15">
        <v>2972</v>
      </c>
      <c r="B760" s="16">
        <v>2011</v>
      </c>
      <c r="C760" t="s" s="15">
        <v>2973</v>
      </c>
      <c r="D760" t="s" s="17">
        <v>2974</v>
      </c>
      <c r="E760" t="s" s="17">
        <v>2975</v>
      </c>
      <c r="F760" s="18"/>
      <c r="G760" s="19">
        <v>2</v>
      </c>
      <c r="H760" t="s" s="20">
        <v>25</v>
      </c>
      <c r="I760" t="s" s="17">
        <v>26</v>
      </c>
      <c r="J760" t="s" s="17">
        <v>85</v>
      </c>
      <c r="K760" s="18"/>
      <c r="L760" s="18"/>
      <c r="M760" s="18"/>
      <c r="N760" s="18"/>
      <c r="O760" s="21"/>
      <c r="P760" s="21"/>
      <c r="Q760" s="21"/>
      <c r="R760" s="21"/>
      <c r="S760" s="21"/>
      <c r="T760" s="21"/>
    </row>
    <row r="761" ht="30" customHeight="1">
      <c r="A761" t="s" s="15">
        <v>2976</v>
      </c>
      <c r="B761" s="16">
        <v>2017</v>
      </c>
      <c r="C761" t="s" s="15">
        <v>2977</v>
      </c>
      <c r="D761" t="s" s="17">
        <v>2978</v>
      </c>
      <c r="E761" t="s" s="17">
        <v>2979</v>
      </c>
      <c r="F761" s="18"/>
      <c r="G761" s="19">
        <v>3</v>
      </c>
      <c r="H761" t="s" s="20">
        <v>46</v>
      </c>
      <c r="I761" t="s" s="17">
        <v>26</v>
      </c>
      <c r="J761" t="s" s="17">
        <v>27</v>
      </c>
      <c r="K761" t="s" s="17">
        <v>792</v>
      </c>
      <c r="L761" s="18"/>
      <c r="M761" s="18"/>
      <c r="N761" s="18"/>
      <c r="O761" s="21"/>
      <c r="P761" s="21"/>
      <c r="Q761" s="21"/>
      <c r="R761" s="21"/>
      <c r="S761" s="21"/>
      <c r="T761" s="21"/>
    </row>
    <row r="762" ht="30" customHeight="1">
      <c r="A762" t="s" s="15">
        <v>2980</v>
      </c>
      <c r="B762" s="16">
        <v>2019</v>
      </c>
      <c r="C762" t="s" s="15">
        <v>2981</v>
      </c>
      <c r="D762" t="s" s="17">
        <v>2982</v>
      </c>
      <c r="E762" t="s" s="17">
        <v>2983</v>
      </c>
      <c r="F762" s="18"/>
      <c r="G762" s="19">
        <v>4</v>
      </c>
      <c r="H762" t="s" s="20">
        <v>46</v>
      </c>
      <c r="I762" t="s" s="17">
        <v>26</v>
      </c>
      <c r="J762" t="s" s="17">
        <v>61</v>
      </c>
      <c r="K762" s="18"/>
      <c r="L762" s="18"/>
      <c r="M762" s="18"/>
      <c r="N762" s="18"/>
      <c r="O762" s="21"/>
      <c r="P762" s="21"/>
      <c r="Q762" s="21"/>
      <c r="R762" s="21"/>
      <c r="S762" s="21"/>
      <c r="T762" s="21"/>
    </row>
    <row r="763" ht="30" customHeight="1">
      <c r="A763" t="s" s="15">
        <v>2984</v>
      </c>
      <c r="B763" s="16">
        <v>2021</v>
      </c>
      <c r="C763" t="s" s="15">
        <v>2985</v>
      </c>
      <c r="D763" t="s" s="17">
        <v>2986</v>
      </c>
      <c r="E763" t="s" s="17">
        <v>2987</v>
      </c>
      <c r="F763" s="18"/>
      <c r="G763" s="19">
        <v>2</v>
      </c>
      <c r="H763" t="s" s="20">
        <v>25</v>
      </c>
      <c r="I763" t="s" s="17">
        <v>26</v>
      </c>
      <c r="J763" t="s" s="17">
        <v>173</v>
      </c>
      <c r="K763" t="s" s="17">
        <v>86</v>
      </c>
      <c r="L763" s="18"/>
      <c r="M763" s="18"/>
      <c r="N763" s="18"/>
      <c r="O763" s="21"/>
      <c r="P763" s="21"/>
      <c r="Q763" s="21"/>
      <c r="R763" s="21"/>
      <c r="S763" s="21"/>
      <c r="T763" s="21"/>
    </row>
    <row r="764" ht="30" customHeight="1">
      <c r="A764" t="s" s="15">
        <v>2988</v>
      </c>
      <c r="B764" s="16">
        <v>2014</v>
      </c>
      <c r="C764" t="s" s="15">
        <v>2989</v>
      </c>
      <c r="D764" t="s" s="17">
        <v>2990</v>
      </c>
      <c r="E764" t="s" s="17">
        <v>2991</v>
      </c>
      <c r="F764" s="18"/>
      <c r="G764" s="19">
        <v>3</v>
      </c>
      <c r="H764" t="s" s="20">
        <v>46</v>
      </c>
      <c r="I764" t="s" s="17">
        <v>26</v>
      </c>
      <c r="J764" t="s" s="17">
        <v>85</v>
      </c>
      <c r="K764" s="18"/>
      <c r="L764" s="18"/>
      <c r="M764" s="18"/>
      <c r="N764" s="18"/>
      <c r="O764" s="21"/>
      <c r="P764" s="21"/>
      <c r="Q764" s="21"/>
      <c r="R764" s="21"/>
      <c r="S764" s="21"/>
      <c r="T764" s="21"/>
    </row>
    <row r="765" ht="30" customHeight="1">
      <c r="A765" t="s" s="15">
        <v>2992</v>
      </c>
      <c r="B765" s="16">
        <v>2015</v>
      </c>
      <c r="C765" t="s" s="15">
        <v>2993</v>
      </c>
      <c r="D765" t="s" s="17">
        <v>2994</v>
      </c>
      <c r="E765" t="s" s="17">
        <v>2995</v>
      </c>
      <c r="F765" s="18"/>
      <c r="G765" s="19">
        <v>3</v>
      </c>
      <c r="H765" t="s" s="20">
        <v>46</v>
      </c>
      <c r="I765" t="s" s="17">
        <v>26</v>
      </c>
      <c r="J765" t="s" s="17">
        <v>61</v>
      </c>
      <c r="K765" t="s" s="17">
        <v>2996</v>
      </c>
      <c r="L765" s="18"/>
      <c r="M765" s="18"/>
      <c r="N765" s="18"/>
      <c r="O765" s="21"/>
      <c r="P765" s="21"/>
      <c r="Q765" s="21"/>
      <c r="R765" s="21"/>
      <c r="S765" s="21"/>
      <c r="T765" s="21"/>
    </row>
    <row r="766" ht="26.55" customHeight="1">
      <c r="A766" t="s" s="15">
        <v>2997</v>
      </c>
      <c r="B766" s="16">
        <v>2019</v>
      </c>
      <c r="C766" t="s" s="15">
        <v>2998</v>
      </c>
      <c r="D766" t="s" s="17">
        <v>2999</v>
      </c>
      <c r="E766" t="s" s="17">
        <v>3000</v>
      </c>
      <c r="F766" s="18"/>
      <c r="G766" s="19">
        <v>3</v>
      </c>
      <c r="H766" t="s" s="20">
        <v>25</v>
      </c>
      <c r="I766" t="s" s="17">
        <v>26</v>
      </c>
      <c r="J766" t="s" s="17">
        <v>38</v>
      </c>
      <c r="K766" t="s" s="17">
        <v>86</v>
      </c>
      <c r="L766" s="18"/>
      <c r="M766" s="18"/>
      <c r="N766" s="18"/>
      <c r="O766" s="21"/>
      <c r="P766" s="21"/>
      <c r="Q766" s="21"/>
      <c r="R766" s="21"/>
      <c r="S766" s="21"/>
      <c r="T766" s="21"/>
    </row>
    <row r="767" ht="30" customHeight="1">
      <c r="A767" t="s" s="15">
        <v>3001</v>
      </c>
      <c r="B767" s="16">
        <v>2020</v>
      </c>
      <c r="C767" t="s" s="15">
        <v>3002</v>
      </c>
      <c r="D767" t="s" s="17">
        <v>3003</v>
      </c>
      <c r="E767" t="s" s="17">
        <v>3004</v>
      </c>
      <c r="F767" s="18"/>
      <c r="G767" s="19">
        <v>2</v>
      </c>
      <c r="H767" t="s" s="20">
        <v>25</v>
      </c>
      <c r="I767" t="s" s="17">
        <v>42</v>
      </c>
      <c r="J767" s="18"/>
      <c r="K767" t="s" s="17">
        <v>43</v>
      </c>
      <c r="L767" t="s" s="17">
        <v>42</v>
      </c>
      <c r="M767" t="s" s="17">
        <v>212</v>
      </c>
      <c r="N767" s="18"/>
      <c r="O767" s="21"/>
      <c r="P767" t="s" s="20">
        <v>46</v>
      </c>
      <c r="Q767" s="21"/>
      <c r="R767" s="21"/>
      <c r="S767" s="21"/>
      <c r="T767" s="21"/>
    </row>
    <row r="768" ht="30" customHeight="1">
      <c r="A768" t="s" s="15">
        <v>3005</v>
      </c>
      <c r="B768" s="16">
        <v>2022</v>
      </c>
      <c r="C768" t="s" s="15">
        <v>3002</v>
      </c>
      <c r="D768" t="s" s="17">
        <v>3006</v>
      </c>
      <c r="E768" t="s" s="17">
        <v>3007</v>
      </c>
      <c r="F768" s="18"/>
      <c r="G768" s="19">
        <v>3</v>
      </c>
      <c r="H768" t="s" s="20">
        <v>25</v>
      </c>
      <c r="I768" t="s" s="17">
        <v>26</v>
      </c>
      <c r="J768" t="s" s="17">
        <v>38</v>
      </c>
      <c r="K768" t="s" s="17">
        <v>467</v>
      </c>
      <c r="L768" s="18"/>
      <c r="M768" s="18"/>
      <c r="N768" s="18"/>
      <c r="O768" s="21"/>
      <c r="P768" s="21"/>
      <c r="Q768" s="21"/>
      <c r="R768" s="21"/>
      <c r="S768" s="21"/>
      <c r="T768" s="21"/>
    </row>
    <row r="769" ht="30" customHeight="1">
      <c r="A769" t="s" s="15">
        <v>3008</v>
      </c>
      <c r="B769" s="16">
        <v>2017</v>
      </c>
      <c r="C769" t="s" s="15">
        <v>3009</v>
      </c>
      <c r="D769" t="s" s="17">
        <v>3010</v>
      </c>
      <c r="E769" t="s" s="17">
        <v>3011</v>
      </c>
      <c r="F769" s="18"/>
      <c r="G769" s="19">
        <v>2</v>
      </c>
      <c r="H769" t="s" s="20">
        <v>25</v>
      </c>
      <c r="I769" t="s" s="17">
        <v>26</v>
      </c>
      <c r="J769" t="s" s="17">
        <v>27</v>
      </c>
      <c r="K769" s="18"/>
      <c r="L769" s="18"/>
      <c r="M769" s="18"/>
      <c r="N769" s="18"/>
      <c r="O769" s="21"/>
      <c r="P769" s="21"/>
      <c r="Q769" s="21"/>
      <c r="R769" s="21"/>
      <c r="S769" s="21"/>
      <c r="T769" s="21"/>
    </row>
    <row r="770" ht="30" customHeight="1">
      <c r="A770" t="s" s="15">
        <v>3012</v>
      </c>
      <c r="B770" s="16">
        <v>2015</v>
      </c>
      <c r="C770" t="s" s="15">
        <v>3013</v>
      </c>
      <c r="D770" t="s" s="17">
        <v>3014</v>
      </c>
      <c r="E770" t="s" s="17">
        <v>3015</v>
      </c>
      <c r="F770" s="18"/>
      <c r="G770" s="19">
        <v>2</v>
      </c>
      <c r="H770" t="s" s="20">
        <v>25</v>
      </c>
      <c r="I770" t="s" s="17">
        <v>26</v>
      </c>
      <c r="J770" t="s" s="17">
        <v>27</v>
      </c>
      <c r="K770" s="18"/>
      <c r="L770" s="18"/>
      <c r="M770" s="18"/>
      <c r="N770" s="18"/>
      <c r="O770" s="21"/>
      <c r="P770" s="21"/>
      <c r="Q770" s="21"/>
      <c r="R770" s="21"/>
      <c r="S770" s="21"/>
      <c r="T770" s="21"/>
    </row>
    <row r="771" ht="30" customHeight="1">
      <c r="A771" t="s" s="15">
        <v>3016</v>
      </c>
      <c r="B771" s="16">
        <v>2019</v>
      </c>
      <c r="C771" t="s" s="15">
        <v>3017</v>
      </c>
      <c r="D771" t="s" s="17">
        <v>3018</v>
      </c>
      <c r="E771" t="s" s="17">
        <v>3019</v>
      </c>
      <c r="F771" s="18"/>
      <c r="G771" s="19">
        <v>3</v>
      </c>
      <c r="H771" t="s" s="20">
        <v>46</v>
      </c>
      <c r="I771" t="s" s="17">
        <v>26</v>
      </c>
      <c r="J771" t="s" s="17">
        <v>93</v>
      </c>
      <c r="K771" s="18"/>
      <c r="L771" s="18"/>
      <c r="M771" s="18"/>
      <c r="N771" s="18"/>
      <c r="O771" s="21"/>
      <c r="P771" s="21"/>
      <c r="Q771" s="21"/>
      <c r="R771" s="21"/>
      <c r="S771" s="21"/>
      <c r="T771" s="21"/>
    </row>
    <row r="772" ht="30" customHeight="1">
      <c r="A772" t="s" s="15">
        <v>3020</v>
      </c>
      <c r="B772" s="16">
        <v>2020</v>
      </c>
      <c r="C772" t="s" s="15">
        <v>3021</v>
      </c>
      <c r="D772" t="s" s="17">
        <v>3022</v>
      </c>
      <c r="E772" t="s" s="17">
        <v>3023</v>
      </c>
      <c r="F772" s="18"/>
      <c r="G772" s="19">
        <v>3</v>
      </c>
      <c r="H772" t="s" s="20">
        <v>46</v>
      </c>
      <c r="I772" t="s" s="17">
        <v>26</v>
      </c>
      <c r="J772" t="s" s="17">
        <v>31</v>
      </c>
      <c r="K772" t="s" s="17">
        <v>86</v>
      </c>
      <c r="L772" s="18"/>
      <c r="M772" s="18"/>
      <c r="N772" s="18"/>
      <c r="O772" s="21"/>
      <c r="P772" s="21"/>
      <c r="Q772" s="21"/>
      <c r="R772" s="21"/>
      <c r="S772" s="21"/>
      <c r="T772" s="21"/>
    </row>
    <row r="773" ht="30" customHeight="1">
      <c r="A773" t="s" s="15">
        <v>3024</v>
      </c>
      <c r="B773" s="16">
        <v>2022</v>
      </c>
      <c r="C773" t="s" s="15">
        <v>3025</v>
      </c>
      <c r="D773" t="s" s="17">
        <v>3026</v>
      </c>
      <c r="E773" t="s" s="17">
        <v>3027</v>
      </c>
      <c r="F773" s="18"/>
      <c r="G773" s="19">
        <v>2</v>
      </c>
      <c r="H773" t="s" s="20">
        <v>25</v>
      </c>
      <c r="I773" t="s" s="17">
        <v>26</v>
      </c>
      <c r="J773" t="s" s="17">
        <v>61</v>
      </c>
      <c r="K773" t="s" s="17">
        <v>32</v>
      </c>
      <c r="L773" s="18"/>
      <c r="M773" s="18"/>
      <c r="N773" s="18"/>
      <c r="O773" s="21"/>
      <c r="P773" s="21"/>
      <c r="Q773" s="21"/>
      <c r="R773" s="21"/>
      <c r="S773" s="21"/>
      <c r="T773" s="21"/>
    </row>
    <row r="774" ht="30" customHeight="1">
      <c r="A774" t="s" s="15">
        <v>3028</v>
      </c>
      <c r="B774" s="16">
        <v>2023</v>
      </c>
      <c r="C774" t="s" s="15">
        <v>3025</v>
      </c>
      <c r="D774" t="s" s="17">
        <v>3029</v>
      </c>
      <c r="E774" t="s" s="17">
        <v>3030</v>
      </c>
      <c r="F774" s="18"/>
      <c r="G774" s="19">
        <v>3</v>
      </c>
      <c r="H774" t="s" s="20">
        <v>46</v>
      </c>
      <c r="I774" t="s" s="17">
        <v>26</v>
      </c>
      <c r="J774" t="s" s="17">
        <v>93</v>
      </c>
      <c r="K774" t="s" s="17">
        <v>792</v>
      </c>
      <c r="L774" s="18"/>
      <c r="M774" s="18"/>
      <c r="N774" s="18"/>
      <c r="O774" s="21"/>
      <c r="P774" s="21"/>
      <c r="Q774" s="21"/>
      <c r="R774" s="21"/>
      <c r="S774" s="21"/>
      <c r="T774" s="21"/>
    </row>
    <row r="775" ht="30" customHeight="1">
      <c r="A775" t="s" s="15">
        <v>3031</v>
      </c>
      <c r="B775" s="16">
        <v>2016</v>
      </c>
      <c r="C775" t="s" s="15">
        <v>3032</v>
      </c>
      <c r="D775" t="s" s="17">
        <v>3033</v>
      </c>
      <c r="E775" t="s" s="17">
        <v>3034</v>
      </c>
      <c r="F775" s="18"/>
      <c r="G775" s="19">
        <v>3</v>
      </c>
      <c r="H775" t="s" s="20">
        <v>46</v>
      </c>
      <c r="I775" t="s" s="17">
        <v>26</v>
      </c>
      <c r="J775" t="s" s="17">
        <v>2415</v>
      </c>
      <c r="K775" s="18"/>
      <c r="L775" s="18"/>
      <c r="M775" s="18"/>
      <c r="N775" s="18"/>
      <c r="O775" s="21"/>
      <c r="P775" s="21"/>
      <c r="Q775" s="21"/>
      <c r="R775" s="21"/>
      <c r="S775" s="21"/>
      <c r="T775" s="21"/>
    </row>
    <row r="776" ht="39.55" customHeight="1">
      <c r="A776" t="s" s="15">
        <v>3035</v>
      </c>
      <c r="B776" s="16">
        <v>2006</v>
      </c>
      <c r="C776" t="s" s="15">
        <v>3036</v>
      </c>
      <c r="D776" t="s" s="17">
        <v>3037</v>
      </c>
      <c r="E776" t="s" s="17">
        <v>3038</v>
      </c>
      <c r="F776" s="18"/>
      <c r="G776" s="19">
        <v>2</v>
      </c>
      <c r="H776" t="s" s="20">
        <v>25</v>
      </c>
      <c r="I776" t="s" s="17">
        <v>42</v>
      </c>
      <c r="J776" s="18"/>
      <c r="K776" t="s" s="17">
        <v>43</v>
      </c>
      <c r="L776" t="s" s="17">
        <v>42</v>
      </c>
      <c r="M776" t="s" s="17">
        <v>44</v>
      </c>
      <c r="N776" s="18"/>
      <c r="O776" s="21"/>
      <c r="P776" t="s" s="20">
        <v>46</v>
      </c>
      <c r="Q776" t="s" s="20">
        <v>277</v>
      </c>
      <c r="R776" s="21"/>
      <c r="S776" t="s" s="20">
        <v>277</v>
      </c>
      <c r="T776" s="21"/>
    </row>
    <row r="777" ht="30" customHeight="1">
      <c r="A777" t="s" s="15">
        <v>3039</v>
      </c>
      <c r="B777" s="16">
        <v>2016</v>
      </c>
      <c r="C777" t="s" s="15">
        <v>3040</v>
      </c>
      <c r="D777" t="s" s="17">
        <v>3041</v>
      </c>
      <c r="E777" t="s" s="17">
        <v>3042</v>
      </c>
      <c r="F777" s="18"/>
      <c r="G777" s="19">
        <v>3</v>
      </c>
      <c r="H777" t="s" s="20">
        <v>46</v>
      </c>
      <c r="I777" t="s" s="17">
        <v>26</v>
      </c>
      <c r="J777" t="s" s="17">
        <v>27</v>
      </c>
      <c r="K777" t="s" s="17">
        <v>467</v>
      </c>
      <c r="L777" s="18"/>
      <c r="M777" s="18"/>
      <c r="N777" s="18"/>
      <c r="O777" s="21"/>
      <c r="P777" s="21"/>
      <c r="Q777" s="21"/>
      <c r="R777" s="21"/>
      <c r="S777" s="21"/>
      <c r="T777" s="21"/>
    </row>
    <row r="778" ht="30" customHeight="1">
      <c r="A778" t="s" s="15">
        <v>3043</v>
      </c>
      <c r="B778" s="16">
        <v>2014</v>
      </c>
      <c r="C778" t="s" s="15">
        <v>3044</v>
      </c>
      <c r="D778" t="s" s="17">
        <v>3045</v>
      </c>
      <c r="E778" t="s" s="17">
        <v>3046</v>
      </c>
      <c r="F778" s="18"/>
      <c r="G778" s="19">
        <v>2</v>
      </c>
      <c r="H778" t="s" s="20">
        <v>25</v>
      </c>
      <c r="I778" t="s" s="17">
        <v>26</v>
      </c>
      <c r="J778" t="s" s="17">
        <v>2415</v>
      </c>
      <c r="K778" t="s" s="17">
        <v>792</v>
      </c>
      <c r="L778" s="18"/>
      <c r="M778" s="18"/>
      <c r="N778" s="18"/>
      <c r="O778" s="21"/>
      <c r="P778" s="21"/>
      <c r="Q778" s="21"/>
      <c r="R778" s="21"/>
      <c r="S778" s="21"/>
      <c r="T778" s="21"/>
    </row>
    <row r="779" ht="45" customHeight="1">
      <c r="A779" t="s" s="15">
        <v>3047</v>
      </c>
      <c r="B779" s="16">
        <v>2009</v>
      </c>
      <c r="C779" t="s" s="15">
        <v>3048</v>
      </c>
      <c r="D779" t="s" s="17">
        <v>3049</v>
      </c>
      <c r="E779" t="s" s="17">
        <v>3050</v>
      </c>
      <c r="F779" s="18"/>
      <c r="G779" s="19">
        <v>3</v>
      </c>
      <c r="H779" t="s" s="20">
        <v>46</v>
      </c>
      <c r="I779" t="s" s="17">
        <v>26</v>
      </c>
      <c r="J779" t="s" s="17">
        <v>38</v>
      </c>
      <c r="K779" t="s" s="17">
        <v>86</v>
      </c>
      <c r="L779" s="18"/>
      <c r="M779" s="18"/>
      <c r="N779" s="18"/>
      <c r="O779" s="21"/>
      <c r="P779" s="21"/>
      <c r="Q779" s="21"/>
      <c r="R779" s="21"/>
      <c r="S779" s="21"/>
      <c r="T779" s="21"/>
    </row>
    <row r="780" ht="30" customHeight="1">
      <c r="A780" t="s" s="15">
        <v>3051</v>
      </c>
      <c r="B780" s="16">
        <v>2023</v>
      </c>
      <c r="C780" t="s" s="15">
        <v>3052</v>
      </c>
      <c r="D780" t="s" s="17">
        <v>3053</v>
      </c>
      <c r="E780" t="s" s="17">
        <v>3054</v>
      </c>
      <c r="F780" s="18"/>
      <c r="G780" s="19">
        <v>2</v>
      </c>
      <c r="H780" t="s" s="20">
        <v>25</v>
      </c>
      <c r="I780" t="s" s="17">
        <v>26</v>
      </c>
      <c r="J780" t="s" s="17">
        <v>27</v>
      </c>
      <c r="K780" s="18"/>
      <c r="L780" s="18"/>
      <c r="M780" s="18"/>
      <c r="N780" s="18"/>
      <c r="O780" s="21"/>
      <c r="P780" s="21"/>
      <c r="Q780" s="21"/>
      <c r="R780" s="21"/>
      <c r="S780" s="21"/>
      <c r="T780" s="21"/>
    </row>
    <row r="781" ht="30" customHeight="1">
      <c r="A781" t="s" s="15">
        <v>3055</v>
      </c>
      <c r="B781" s="16">
        <v>2013</v>
      </c>
      <c r="C781" t="s" s="15">
        <v>3056</v>
      </c>
      <c r="D781" t="s" s="17">
        <v>3057</v>
      </c>
      <c r="E781" t="s" s="17">
        <v>3058</v>
      </c>
      <c r="F781" s="18"/>
      <c r="G781" s="19">
        <v>2</v>
      </c>
      <c r="H781" t="s" s="20">
        <v>25</v>
      </c>
      <c r="I781" t="s" s="17">
        <v>26</v>
      </c>
      <c r="J781" t="s" s="17">
        <v>102</v>
      </c>
      <c r="K781" s="18"/>
      <c r="L781" s="18"/>
      <c r="M781" s="18"/>
      <c r="N781" s="18"/>
      <c r="O781" s="21"/>
      <c r="P781" s="21"/>
      <c r="Q781" s="21"/>
      <c r="R781" s="21"/>
      <c r="S781" s="21"/>
      <c r="T781" s="21"/>
    </row>
    <row r="782" ht="45" customHeight="1">
      <c r="A782" t="s" s="15">
        <v>3059</v>
      </c>
      <c r="B782" s="16">
        <v>2014</v>
      </c>
      <c r="C782" t="s" s="15">
        <v>3060</v>
      </c>
      <c r="D782" t="s" s="17">
        <v>3061</v>
      </c>
      <c r="E782" t="s" s="17">
        <v>3062</v>
      </c>
      <c r="F782" s="18"/>
      <c r="G782" s="19">
        <v>2</v>
      </c>
      <c r="H782" t="s" s="20">
        <v>25</v>
      </c>
      <c r="I782" t="s" s="17">
        <v>26</v>
      </c>
      <c r="J782" t="s" s="17">
        <v>31</v>
      </c>
      <c r="K782" t="s" s="17">
        <v>1055</v>
      </c>
      <c r="L782" t="s" s="17">
        <v>26</v>
      </c>
      <c r="M782" s="18"/>
      <c r="N782" t="s" s="17">
        <v>31</v>
      </c>
      <c r="O782" t="s" s="20">
        <v>3063</v>
      </c>
      <c r="P782" s="21"/>
      <c r="Q782" s="21"/>
      <c r="R782" s="21"/>
      <c r="S782" s="21"/>
      <c r="T782" s="21"/>
    </row>
    <row r="783" ht="45" customHeight="1">
      <c r="A783" t="s" s="15">
        <v>3064</v>
      </c>
      <c r="B783" s="16">
        <v>2017</v>
      </c>
      <c r="C783" t="s" s="15">
        <v>3065</v>
      </c>
      <c r="D783" t="s" s="17">
        <v>3066</v>
      </c>
      <c r="E783" t="s" s="17">
        <v>3067</v>
      </c>
      <c r="F783" s="18"/>
      <c r="G783" s="19">
        <v>2</v>
      </c>
      <c r="H783" t="s" s="20">
        <v>25</v>
      </c>
      <c r="I783" t="s" s="17">
        <v>26</v>
      </c>
      <c r="J783" t="s" s="17">
        <v>102</v>
      </c>
      <c r="K783" s="18"/>
      <c r="L783" s="18"/>
      <c r="M783" s="18"/>
      <c r="N783" s="18"/>
      <c r="O783" s="21"/>
      <c r="P783" s="21"/>
      <c r="Q783" s="21"/>
      <c r="R783" s="21"/>
      <c r="S783" s="21"/>
      <c r="T783" s="21"/>
    </row>
    <row r="784" ht="30" customHeight="1">
      <c r="A784" t="s" s="15">
        <v>3068</v>
      </c>
      <c r="B784" s="16">
        <v>2016</v>
      </c>
      <c r="C784" t="s" s="15">
        <v>3069</v>
      </c>
      <c r="D784" t="s" s="17">
        <v>3070</v>
      </c>
      <c r="E784" t="s" s="17">
        <v>3071</v>
      </c>
      <c r="F784" s="18"/>
      <c r="G784" s="19">
        <v>3</v>
      </c>
      <c r="H784" t="s" s="20">
        <v>46</v>
      </c>
      <c r="I784" t="s" s="17">
        <v>26</v>
      </c>
      <c r="J784" t="s" s="17">
        <v>131</v>
      </c>
      <c r="K784" s="18"/>
      <c r="L784" s="18"/>
      <c r="M784" s="18"/>
      <c r="N784" s="18"/>
      <c r="O784" s="21"/>
      <c r="P784" s="21"/>
      <c r="Q784" s="21"/>
      <c r="R784" s="21"/>
      <c r="S784" s="21"/>
      <c r="T784" s="21"/>
    </row>
    <row r="785" ht="30" customHeight="1">
      <c r="A785" t="s" s="15">
        <v>3072</v>
      </c>
      <c r="B785" s="16">
        <v>2016</v>
      </c>
      <c r="C785" t="s" s="15">
        <v>3069</v>
      </c>
      <c r="D785" t="s" s="17">
        <v>3070</v>
      </c>
      <c r="E785" t="s" s="17">
        <v>3073</v>
      </c>
      <c r="F785" s="18"/>
      <c r="G785" s="19">
        <v>3</v>
      </c>
      <c r="H785" t="s" s="20">
        <v>46</v>
      </c>
      <c r="I785" t="s" s="17">
        <v>26</v>
      </c>
      <c r="J785" t="s" s="17">
        <v>93</v>
      </c>
      <c r="K785" s="18"/>
      <c r="L785" s="18"/>
      <c r="M785" s="18"/>
      <c r="N785" s="18"/>
      <c r="O785" s="21"/>
      <c r="P785" s="21"/>
      <c r="Q785" s="21"/>
      <c r="R785" s="21"/>
      <c r="S785" s="21"/>
      <c r="T785" s="21"/>
    </row>
    <row r="786" ht="30" customHeight="1">
      <c r="A786" t="s" s="15">
        <v>3074</v>
      </c>
      <c r="B786" s="16">
        <v>2020</v>
      </c>
      <c r="C786" t="s" s="15">
        <v>3069</v>
      </c>
      <c r="D786" t="s" s="17">
        <v>3075</v>
      </c>
      <c r="E786" t="s" s="17">
        <v>3076</v>
      </c>
      <c r="F786" s="18"/>
      <c r="G786" s="19">
        <v>3</v>
      </c>
      <c r="H786" t="s" s="20">
        <v>46</v>
      </c>
      <c r="I786" t="s" s="17">
        <v>42</v>
      </c>
      <c r="J786" s="18"/>
      <c r="K786" t="s" s="17">
        <v>276</v>
      </c>
      <c r="L786" t="s" s="17">
        <v>42</v>
      </c>
      <c r="M786" t="s" s="17">
        <v>505</v>
      </c>
      <c r="N786" s="18"/>
      <c r="O786" s="21"/>
      <c r="P786" t="s" s="20">
        <v>25</v>
      </c>
      <c r="Q786" s="21"/>
      <c r="R786" s="21"/>
      <c r="S786" s="21"/>
      <c r="T786" s="21"/>
    </row>
    <row r="787" ht="26.55" customHeight="1">
      <c r="A787" t="s" s="15">
        <v>3077</v>
      </c>
      <c r="B787" s="16">
        <v>2020</v>
      </c>
      <c r="C787" t="s" s="15">
        <v>3078</v>
      </c>
      <c r="D787" t="s" s="17">
        <v>3079</v>
      </c>
      <c r="E787" t="s" s="17">
        <v>3080</v>
      </c>
      <c r="F787" s="18"/>
      <c r="G787" s="19">
        <v>3</v>
      </c>
      <c r="H787" t="s" s="20">
        <v>46</v>
      </c>
      <c r="I787" t="s" s="17">
        <v>26</v>
      </c>
      <c r="J787" t="s" s="17">
        <v>31</v>
      </c>
      <c r="K787" s="18"/>
      <c r="L787" s="18"/>
      <c r="M787" s="18"/>
      <c r="N787" s="18"/>
      <c r="O787" s="21"/>
      <c r="P787" s="21"/>
      <c r="Q787" s="21"/>
      <c r="R787" s="21"/>
      <c r="S787" s="21"/>
      <c r="T787" s="21"/>
    </row>
    <row r="788" ht="30" customHeight="1">
      <c r="A788" t="s" s="15">
        <v>3081</v>
      </c>
      <c r="B788" s="16">
        <v>2019</v>
      </c>
      <c r="C788" t="s" s="15">
        <v>3082</v>
      </c>
      <c r="D788" t="s" s="17">
        <v>3083</v>
      </c>
      <c r="E788" t="s" s="17">
        <v>3084</v>
      </c>
      <c r="F788" s="18"/>
      <c r="G788" s="19">
        <v>2</v>
      </c>
      <c r="H788" t="s" s="20">
        <v>25</v>
      </c>
      <c r="I788" t="s" s="17">
        <v>42</v>
      </c>
      <c r="J788" t="s" s="17">
        <v>38</v>
      </c>
      <c r="K788" t="s" s="17">
        <v>797</v>
      </c>
      <c r="L788" s="18"/>
      <c r="M788" s="18"/>
      <c r="N788" s="18"/>
      <c r="O788" s="21"/>
      <c r="P788" s="21"/>
      <c r="Q788" s="21"/>
      <c r="R788" s="21"/>
      <c r="S788" s="21"/>
      <c r="T788" s="21"/>
    </row>
    <row r="789" ht="26.55" customHeight="1">
      <c r="A789" t="s" s="15">
        <v>3085</v>
      </c>
      <c r="B789" s="16">
        <v>2021</v>
      </c>
      <c r="C789" t="s" s="15">
        <v>3082</v>
      </c>
      <c r="D789" t="s" s="17">
        <v>3086</v>
      </c>
      <c r="E789" t="s" s="17">
        <v>3087</v>
      </c>
      <c r="F789" s="18"/>
      <c r="G789" s="19">
        <v>3</v>
      </c>
      <c r="H789" t="s" s="20">
        <v>46</v>
      </c>
      <c r="I789" t="s" s="17">
        <v>26</v>
      </c>
      <c r="J789" t="s" s="17">
        <v>93</v>
      </c>
      <c r="K789" s="18"/>
      <c r="L789" s="18"/>
      <c r="M789" s="18"/>
      <c r="N789" s="18"/>
      <c r="O789" s="21"/>
      <c r="P789" s="21"/>
      <c r="Q789" s="21"/>
      <c r="R789" s="21"/>
      <c r="S789" s="21"/>
      <c r="T789" s="21"/>
    </row>
    <row r="790" ht="30" customHeight="1">
      <c r="A790" t="s" s="15">
        <v>3088</v>
      </c>
      <c r="B790" s="16">
        <v>2021</v>
      </c>
      <c r="C790" t="s" s="15">
        <v>3089</v>
      </c>
      <c r="D790" t="s" s="17">
        <v>3090</v>
      </c>
      <c r="E790" t="s" s="17">
        <v>3091</v>
      </c>
      <c r="F790" s="18"/>
      <c r="G790" s="19">
        <v>3</v>
      </c>
      <c r="H790" t="s" s="20">
        <v>46</v>
      </c>
      <c r="I790" t="s" s="17">
        <v>42</v>
      </c>
      <c r="J790" s="18"/>
      <c r="K790" t="s" s="17">
        <v>43</v>
      </c>
      <c r="L790" t="s" s="17">
        <v>42</v>
      </c>
      <c r="M790" t="s" s="17">
        <v>44</v>
      </c>
      <c r="N790" s="18"/>
      <c r="O790" s="21"/>
      <c r="P790" t="s" s="20">
        <v>25</v>
      </c>
      <c r="Q790" s="21"/>
      <c r="R790" s="21"/>
      <c r="S790" s="21"/>
      <c r="T790" s="21"/>
    </row>
    <row r="791" ht="30" customHeight="1">
      <c r="A791" t="s" s="15">
        <v>3092</v>
      </c>
      <c r="B791" s="16">
        <v>2011</v>
      </c>
      <c r="C791" t="s" s="15">
        <v>3093</v>
      </c>
      <c r="D791" t="s" s="17">
        <v>3094</v>
      </c>
      <c r="E791" t="s" s="17">
        <v>3095</v>
      </c>
      <c r="F791" s="18"/>
      <c r="G791" s="19">
        <v>2</v>
      </c>
      <c r="H791" t="s" s="20">
        <v>25</v>
      </c>
      <c r="I791" t="s" s="17">
        <v>26</v>
      </c>
      <c r="J791" t="s" s="17">
        <v>2070</v>
      </c>
      <c r="K791" s="18"/>
      <c r="L791" s="18"/>
      <c r="M791" s="18"/>
      <c r="N791" s="18"/>
      <c r="O791" s="21"/>
      <c r="P791" s="21"/>
      <c r="Q791" s="21"/>
      <c r="R791" s="21"/>
      <c r="S791" s="21"/>
      <c r="T791" s="21"/>
    </row>
    <row r="792" ht="30" customHeight="1">
      <c r="A792" t="s" s="15">
        <v>3096</v>
      </c>
      <c r="B792" s="16">
        <v>2021</v>
      </c>
      <c r="C792" t="s" s="15">
        <v>3093</v>
      </c>
      <c r="D792" t="s" s="17">
        <v>3097</v>
      </c>
      <c r="E792" t="s" s="17">
        <v>3098</v>
      </c>
      <c r="F792" s="18"/>
      <c r="G792" s="19">
        <v>2</v>
      </c>
      <c r="H792" t="s" s="20">
        <v>25</v>
      </c>
      <c r="I792" t="s" s="17">
        <v>42</v>
      </c>
      <c r="J792" s="18"/>
      <c r="K792" t="s" s="17">
        <v>276</v>
      </c>
      <c r="L792" t="s" s="17">
        <v>42</v>
      </c>
      <c r="M792" t="s" s="17">
        <v>44</v>
      </c>
      <c r="N792" s="18"/>
      <c r="O792" s="21"/>
      <c r="P792" t="s" s="20">
        <v>25</v>
      </c>
      <c r="Q792" s="21"/>
      <c r="R792" s="21"/>
      <c r="S792" s="21"/>
      <c r="T792" s="21"/>
    </row>
    <row r="793" ht="30" customHeight="1">
      <c r="A793" t="s" s="15">
        <v>3099</v>
      </c>
      <c r="B793" s="16">
        <v>2010</v>
      </c>
      <c r="C793" t="s" s="15">
        <v>3100</v>
      </c>
      <c r="D793" t="s" s="17">
        <v>3101</v>
      </c>
      <c r="E793" t="s" s="17">
        <v>3102</v>
      </c>
      <c r="F793" s="18"/>
      <c r="G793" s="19">
        <v>2</v>
      </c>
      <c r="H793" t="s" s="20">
        <v>25</v>
      </c>
      <c r="I793" t="s" s="17">
        <v>26</v>
      </c>
      <c r="J793" t="s" s="17">
        <v>27</v>
      </c>
      <c r="K793" s="18"/>
      <c r="L793" s="18"/>
      <c r="M793" s="18"/>
      <c r="N793" s="18"/>
      <c r="O793" s="21"/>
      <c r="P793" s="21"/>
      <c r="Q793" s="21"/>
      <c r="R793" s="21"/>
      <c r="S793" s="21"/>
      <c r="T793" s="21"/>
    </row>
    <row r="794" ht="30" customHeight="1">
      <c r="A794" t="s" s="15">
        <v>3103</v>
      </c>
      <c r="B794" s="16">
        <v>2023</v>
      </c>
      <c r="C794" t="s" s="15">
        <v>3104</v>
      </c>
      <c r="D794" t="s" s="17">
        <v>3105</v>
      </c>
      <c r="E794" t="s" s="17">
        <v>3106</v>
      </c>
      <c r="F794" s="18"/>
      <c r="G794" s="19">
        <v>2</v>
      </c>
      <c r="H794" t="s" s="20">
        <v>25</v>
      </c>
      <c r="I794" t="s" s="17">
        <v>26</v>
      </c>
      <c r="J794" t="s" s="17">
        <v>93</v>
      </c>
      <c r="K794" s="18"/>
      <c r="L794" s="18"/>
      <c r="M794" s="18"/>
      <c r="N794" s="18"/>
      <c r="O794" s="21"/>
      <c r="P794" s="21"/>
      <c r="Q794" s="21"/>
      <c r="R794" s="21"/>
      <c r="S794" s="21"/>
      <c r="T794" s="21"/>
    </row>
    <row r="795" ht="30" customHeight="1">
      <c r="A795" t="s" s="15">
        <v>3107</v>
      </c>
      <c r="B795" s="16">
        <v>2021</v>
      </c>
      <c r="C795" t="s" s="15">
        <v>3108</v>
      </c>
      <c r="D795" t="s" s="17">
        <v>3109</v>
      </c>
      <c r="E795" t="s" s="17">
        <v>3110</v>
      </c>
      <c r="F795" s="18"/>
      <c r="G795" s="19">
        <v>2</v>
      </c>
      <c r="H795" t="s" s="20">
        <v>25</v>
      </c>
      <c r="I795" t="s" s="17">
        <v>26</v>
      </c>
      <c r="J795" t="s" s="17">
        <v>102</v>
      </c>
      <c r="K795" s="18"/>
      <c r="L795" s="18"/>
      <c r="M795" s="18"/>
      <c r="N795" s="18"/>
      <c r="O795" s="21"/>
      <c r="P795" s="21"/>
      <c r="Q795" s="21"/>
      <c r="R795" s="21"/>
      <c r="S795" s="21"/>
      <c r="T795" s="21"/>
    </row>
    <row r="796" ht="30" customHeight="1">
      <c r="A796" t="s" s="15">
        <v>3111</v>
      </c>
      <c r="B796" s="16">
        <v>2014</v>
      </c>
      <c r="C796" t="s" s="15">
        <v>3112</v>
      </c>
      <c r="D796" t="s" s="17">
        <v>3113</v>
      </c>
      <c r="E796" s="18"/>
      <c r="F796" s="18"/>
      <c r="G796" s="19">
        <v>2</v>
      </c>
      <c r="H796" t="s" s="20">
        <v>25</v>
      </c>
      <c r="I796" t="s" s="17">
        <v>26</v>
      </c>
      <c r="J796" t="s" s="17">
        <v>2374</v>
      </c>
      <c r="K796" s="18"/>
      <c r="L796" s="18"/>
      <c r="M796" s="18"/>
      <c r="N796" s="18"/>
      <c r="O796" s="21"/>
      <c r="P796" s="21"/>
      <c r="Q796" s="21"/>
      <c r="R796" s="21"/>
      <c r="S796" s="21"/>
      <c r="T796" s="21"/>
    </row>
    <row r="797" ht="30" customHeight="1">
      <c r="A797" t="s" s="15">
        <v>3114</v>
      </c>
      <c r="B797" s="16">
        <v>2018</v>
      </c>
      <c r="C797" t="s" s="15">
        <v>3115</v>
      </c>
      <c r="D797" t="s" s="17">
        <v>3116</v>
      </c>
      <c r="E797" t="s" s="17">
        <v>3117</v>
      </c>
      <c r="F797" s="18"/>
      <c r="G797" s="19">
        <v>2</v>
      </c>
      <c r="H797" t="s" s="20">
        <v>25</v>
      </c>
      <c r="I797" t="s" s="17">
        <v>26</v>
      </c>
      <c r="J797" t="s" s="17">
        <v>27</v>
      </c>
      <c r="K797" s="18"/>
      <c r="L797" s="18"/>
      <c r="M797" s="18"/>
      <c r="N797" s="18"/>
      <c r="O797" s="21"/>
      <c r="P797" s="21"/>
      <c r="Q797" s="21"/>
      <c r="R797" s="21"/>
      <c r="S797" s="21"/>
      <c r="T797" s="21"/>
    </row>
    <row r="798" ht="30" customHeight="1">
      <c r="A798" t="s" s="15">
        <v>3118</v>
      </c>
      <c r="B798" s="16">
        <v>2023</v>
      </c>
      <c r="C798" t="s" s="15">
        <v>3115</v>
      </c>
      <c r="D798" t="s" s="17">
        <v>3119</v>
      </c>
      <c r="E798" t="s" s="17">
        <v>3120</v>
      </c>
      <c r="F798" s="18"/>
      <c r="G798" s="19">
        <v>2</v>
      </c>
      <c r="H798" t="s" s="20">
        <v>25</v>
      </c>
      <c r="I798" t="s" s="17">
        <v>26</v>
      </c>
      <c r="J798" t="s" s="17">
        <v>27</v>
      </c>
      <c r="K798" s="18"/>
      <c r="L798" s="18"/>
      <c r="M798" s="18"/>
      <c r="N798" s="18"/>
      <c r="O798" s="21"/>
      <c r="P798" s="21"/>
      <c r="Q798" s="21"/>
      <c r="R798" s="21"/>
      <c r="S798" s="21"/>
      <c r="T798" s="21"/>
    </row>
    <row r="799" ht="30" customHeight="1">
      <c r="A799" t="s" s="15">
        <v>3121</v>
      </c>
      <c r="B799" s="16">
        <v>2013</v>
      </c>
      <c r="C799" t="s" s="15">
        <v>3122</v>
      </c>
      <c r="D799" t="s" s="17">
        <v>3123</v>
      </c>
      <c r="E799" t="s" s="17">
        <v>3124</v>
      </c>
      <c r="F799" s="18"/>
      <c r="G799" s="19">
        <v>3</v>
      </c>
      <c r="H799" t="s" s="20">
        <v>46</v>
      </c>
      <c r="I799" t="s" s="17">
        <v>26</v>
      </c>
      <c r="J799" t="s" s="17">
        <v>131</v>
      </c>
      <c r="K799" t="s" s="17">
        <v>792</v>
      </c>
      <c r="L799" s="18"/>
      <c r="M799" s="18"/>
      <c r="N799" s="18"/>
      <c r="O799" s="21"/>
      <c r="P799" s="21"/>
      <c r="Q799" s="21"/>
      <c r="R799" s="21"/>
      <c r="S799" s="21"/>
      <c r="T799" s="21"/>
    </row>
    <row r="800" ht="26.55" customHeight="1">
      <c r="A800" t="s" s="15">
        <v>3125</v>
      </c>
      <c r="B800" s="16">
        <v>2016</v>
      </c>
      <c r="C800" t="s" s="15">
        <v>3126</v>
      </c>
      <c r="D800" t="s" s="17">
        <v>3127</v>
      </c>
      <c r="E800" t="s" s="17">
        <v>3128</v>
      </c>
      <c r="F800" s="18"/>
      <c r="G800" s="19">
        <v>2</v>
      </c>
      <c r="H800" t="s" s="20">
        <v>25</v>
      </c>
      <c r="I800" t="s" s="17">
        <v>26</v>
      </c>
      <c r="J800" t="s" s="17">
        <v>187</v>
      </c>
      <c r="K800" s="18"/>
      <c r="L800" s="18"/>
      <c r="M800" s="18"/>
      <c r="N800" s="18"/>
      <c r="O800" s="21"/>
      <c r="P800" s="21"/>
      <c r="Q800" s="21"/>
      <c r="R800" s="21"/>
      <c r="S800" s="21"/>
      <c r="T800" s="21"/>
    </row>
    <row r="801" ht="26.55" customHeight="1">
      <c r="A801" t="s" s="15">
        <v>3129</v>
      </c>
      <c r="B801" s="16">
        <v>2021</v>
      </c>
      <c r="C801" t="s" s="15">
        <v>3126</v>
      </c>
      <c r="D801" t="s" s="17">
        <v>3130</v>
      </c>
      <c r="E801" t="s" s="17">
        <v>3131</v>
      </c>
      <c r="F801" s="18"/>
      <c r="G801" s="19">
        <v>2</v>
      </c>
      <c r="H801" t="s" s="20">
        <v>25</v>
      </c>
      <c r="I801" t="s" s="17">
        <v>26</v>
      </c>
      <c r="J801" t="s" s="17">
        <v>27</v>
      </c>
      <c r="K801" s="18"/>
      <c r="L801" s="18"/>
      <c r="M801" s="18"/>
      <c r="N801" s="18"/>
      <c r="O801" s="21"/>
      <c r="P801" s="21"/>
      <c r="Q801" s="21"/>
      <c r="R801" s="21"/>
      <c r="S801" s="21"/>
      <c r="T801" s="21"/>
    </row>
    <row r="802" ht="30" customHeight="1">
      <c r="A802" t="s" s="15">
        <v>3132</v>
      </c>
      <c r="B802" s="16">
        <v>2015</v>
      </c>
      <c r="C802" t="s" s="15">
        <v>3133</v>
      </c>
      <c r="D802" t="s" s="17">
        <v>3134</v>
      </c>
      <c r="E802" t="s" s="17">
        <v>3135</v>
      </c>
      <c r="F802" s="18"/>
      <c r="G802" s="19">
        <v>2</v>
      </c>
      <c r="H802" t="s" s="20">
        <v>25</v>
      </c>
      <c r="I802" t="s" s="17">
        <v>42</v>
      </c>
      <c r="J802" s="18"/>
      <c r="K802" t="s" s="17">
        <v>892</v>
      </c>
      <c r="L802" t="s" s="17">
        <v>42</v>
      </c>
      <c r="M802" t="s" s="17">
        <v>44</v>
      </c>
      <c r="N802" s="18"/>
      <c r="O802" s="21"/>
      <c r="P802" t="s" s="20">
        <v>25</v>
      </c>
      <c r="Q802" s="21"/>
      <c r="R802" s="21"/>
      <c r="S802" s="21"/>
      <c r="T802" s="21"/>
    </row>
    <row r="803" ht="30" customHeight="1">
      <c r="A803" t="s" s="15">
        <v>3136</v>
      </c>
      <c r="B803" s="16">
        <v>2021</v>
      </c>
      <c r="C803" t="s" s="15">
        <v>3137</v>
      </c>
      <c r="D803" t="s" s="17">
        <v>3138</v>
      </c>
      <c r="E803" t="s" s="17">
        <v>3139</v>
      </c>
      <c r="F803" s="18"/>
      <c r="G803" s="19">
        <v>2</v>
      </c>
      <c r="H803" t="s" s="20">
        <v>25</v>
      </c>
      <c r="I803" t="s" s="17">
        <v>26</v>
      </c>
      <c r="J803" t="s" s="17">
        <v>660</v>
      </c>
      <c r="K803" t="s" s="17">
        <v>3140</v>
      </c>
      <c r="L803" s="18"/>
      <c r="M803" s="18"/>
      <c r="N803" s="18"/>
      <c r="O803" s="21"/>
      <c r="P803" s="21"/>
      <c r="Q803" s="21"/>
      <c r="R803" s="21"/>
      <c r="S803" s="21"/>
      <c r="T803" s="21"/>
    </row>
    <row r="804" ht="30" customHeight="1">
      <c r="A804" t="s" s="15">
        <v>3141</v>
      </c>
      <c r="B804" s="16">
        <v>2020</v>
      </c>
      <c r="C804" t="s" s="15">
        <v>3142</v>
      </c>
      <c r="D804" t="s" s="17">
        <v>3143</v>
      </c>
      <c r="E804" t="s" s="17">
        <v>3144</v>
      </c>
      <c r="F804" s="18"/>
      <c r="G804" s="19">
        <v>3</v>
      </c>
      <c r="H804" t="s" s="20">
        <v>46</v>
      </c>
      <c r="I804" t="s" s="17">
        <v>26</v>
      </c>
      <c r="J804" t="s" s="17">
        <v>93</v>
      </c>
      <c r="K804" s="18"/>
      <c r="L804" s="18"/>
      <c r="M804" s="18"/>
      <c r="N804" s="18"/>
      <c r="O804" s="21"/>
      <c r="P804" s="21"/>
      <c r="Q804" s="21"/>
      <c r="R804" s="21"/>
      <c r="S804" s="21"/>
      <c r="T804" s="21"/>
    </row>
    <row r="805" ht="30" customHeight="1">
      <c r="A805" t="s" s="15">
        <v>3145</v>
      </c>
      <c r="B805" s="16">
        <v>2018</v>
      </c>
      <c r="C805" t="s" s="15">
        <v>3146</v>
      </c>
      <c r="D805" t="s" s="17">
        <v>3147</v>
      </c>
      <c r="E805" t="s" s="17">
        <v>3148</v>
      </c>
      <c r="F805" s="18"/>
      <c r="G805" s="19">
        <v>3</v>
      </c>
      <c r="H805" t="s" s="20">
        <v>46</v>
      </c>
      <c r="I805" t="s" s="17">
        <v>26</v>
      </c>
      <c r="J805" t="s" s="17">
        <v>102</v>
      </c>
      <c r="K805" s="18"/>
      <c r="L805" s="18"/>
      <c r="M805" s="18"/>
      <c r="N805" s="18"/>
      <c r="O805" s="21"/>
      <c r="P805" s="21"/>
      <c r="Q805" s="21"/>
      <c r="R805" s="21"/>
      <c r="S805" s="21"/>
      <c r="T805" s="21"/>
    </row>
    <row r="806" ht="26.55" customHeight="1">
      <c r="A806" t="s" s="15">
        <v>3149</v>
      </c>
      <c r="B806" s="16">
        <v>2020</v>
      </c>
      <c r="C806" t="s" s="15">
        <v>3150</v>
      </c>
      <c r="D806" t="s" s="17">
        <v>3151</v>
      </c>
      <c r="E806" t="s" s="17">
        <v>3152</v>
      </c>
      <c r="F806" s="18"/>
      <c r="G806" s="19">
        <v>3</v>
      </c>
      <c r="H806" t="s" s="20">
        <v>46</v>
      </c>
      <c r="I806" t="s" s="17">
        <v>26</v>
      </c>
      <c r="J806" t="s" s="17">
        <v>61</v>
      </c>
      <c r="K806" s="18"/>
      <c r="L806" s="18"/>
      <c r="M806" s="18"/>
      <c r="N806" s="18"/>
      <c r="O806" s="21"/>
      <c r="P806" s="21"/>
      <c r="Q806" s="21"/>
      <c r="R806" s="21"/>
      <c r="S806" s="21"/>
      <c r="T806" s="21"/>
    </row>
    <row r="807" ht="30" customHeight="1">
      <c r="A807" t="s" s="15">
        <v>3153</v>
      </c>
      <c r="B807" s="16">
        <v>2017</v>
      </c>
      <c r="C807" t="s" s="15">
        <v>3154</v>
      </c>
      <c r="D807" t="s" s="17">
        <v>3155</v>
      </c>
      <c r="E807" t="s" s="17">
        <v>3156</v>
      </c>
      <c r="F807" s="18"/>
      <c r="G807" s="19">
        <v>3</v>
      </c>
      <c r="H807" t="s" s="20">
        <v>46</v>
      </c>
      <c r="I807" t="s" s="17">
        <v>26</v>
      </c>
      <c r="J807" t="s" s="17">
        <v>102</v>
      </c>
      <c r="K807" t="s" s="17">
        <v>792</v>
      </c>
      <c r="L807" s="18"/>
      <c r="M807" s="18"/>
      <c r="N807" s="18"/>
      <c r="O807" s="21"/>
      <c r="P807" s="21"/>
      <c r="Q807" s="21"/>
      <c r="R807" s="21"/>
      <c r="S807" s="21"/>
      <c r="T807" s="21"/>
    </row>
    <row r="808" ht="30" customHeight="1">
      <c r="A808" t="s" s="15">
        <v>3157</v>
      </c>
      <c r="B808" s="16">
        <v>2013</v>
      </c>
      <c r="C808" t="s" s="15">
        <v>3158</v>
      </c>
      <c r="D808" t="s" s="17">
        <v>3159</v>
      </c>
      <c r="E808" t="s" s="17">
        <v>3160</v>
      </c>
      <c r="F808" s="18"/>
      <c r="G808" s="19">
        <v>2</v>
      </c>
      <c r="H808" t="s" s="20">
        <v>25</v>
      </c>
      <c r="I808" t="s" s="17">
        <v>26</v>
      </c>
      <c r="J808" t="s" s="17">
        <v>335</v>
      </c>
      <c r="K808" s="18"/>
      <c r="L808" s="18"/>
      <c r="M808" s="18"/>
      <c r="N808" s="18"/>
      <c r="O808" s="21"/>
      <c r="P808" s="21"/>
      <c r="Q808" s="21"/>
      <c r="R808" s="21"/>
      <c r="S808" s="21"/>
      <c r="T808" s="21"/>
    </row>
    <row r="809" ht="26.55" customHeight="1">
      <c r="A809" t="s" s="15">
        <v>3161</v>
      </c>
      <c r="B809" s="16">
        <v>2014</v>
      </c>
      <c r="C809" t="s" s="15">
        <v>3162</v>
      </c>
      <c r="D809" t="s" s="17">
        <v>3163</v>
      </c>
      <c r="E809" t="s" s="17">
        <v>3164</v>
      </c>
      <c r="F809" s="18"/>
      <c r="G809" s="19">
        <v>3</v>
      </c>
      <c r="H809" t="s" s="20">
        <v>25</v>
      </c>
      <c r="I809" t="s" s="17">
        <v>26</v>
      </c>
      <c r="J809" t="s" s="17">
        <v>31</v>
      </c>
      <c r="K809" t="s" s="17">
        <v>32</v>
      </c>
      <c r="L809" s="18"/>
      <c r="M809" s="18"/>
      <c r="N809" s="18"/>
      <c r="O809" s="21"/>
      <c r="P809" s="21"/>
      <c r="Q809" s="21"/>
      <c r="R809" s="21"/>
      <c r="S809" s="21"/>
      <c r="T809" s="21"/>
    </row>
    <row r="810" ht="30" customHeight="1">
      <c r="A810" t="s" s="15">
        <v>3165</v>
      </c>
      <c r="B810" s="16">
        <v>2019</v>
      </c>
      <c r="C810" t="s" s="15">
        <v>3166</v>
      </c>
      <c r="D810" t="s" s="17">
        <v>3167</v>
      </c>
      <c r="E810" t="s" s="17">
        <v>3168</v>
      </c>
      <c r="F810" s="18"/>
      <c r="G810" s="19">
        <v>2</v>
      </c>
      <c r="H810" t="s" s="20">
        <v>25</v>
      </c>
      <c r="I810" t="s" s="17">
        <v>26</v>
      </c>
      <c r="J810" t="s" s="17">
        <v>93</v>
      </c>
      <c r="K810" s="18"/>
      <c r="L810" s="18"/>
      <c r="M810" s="18"/>
      <c r="N810" s="18"/>
      <c r="O810" s="21"/>
      <c r="P810" s="21"/>
      <c r="Q810" s="21"/>
      <c r="R810" s="21"/>
      <c r="S810" s="21"/>
      <c r="T810" s="21"/>
    </row>
    <row r="811" ht="26.55" customHeight="1">
      <c r="A811" t="s" s="15">
        <v>3169</v>
      </c>
      <c r="B811" s="16">
        <v>2017</v>
      </c>
      <c r="C811" t="s" s="15">
        <v>3170</v>
      </c>
      <c r="D811" t="s" s="17">
        <v>3171</v>
      </c>
      <c r="E811" s="18"/>
      <c r="F811" s="18"/>
      <c r="G811" s="19">
        <v>2</v>
      </c>
      <c r="H811" t="s" s="20">
        <v>25</v>
      </c>
      <c r="I811" t="s" s="17">
        <v>26</v>
      </c>
      <c r="J811" t="s" s="17">
        <v>27</v>
      </c>
      <c r="K811" s="18"/>
      <c r="L811" s="18"/>
      <c r="M811" s="18"/>
      <c r="N811" s="18"/>
      <c r="O811" s="21"/>
      <c r="P811" s="21"/>
      <c r="Q811" s="21"/>
      <c r="R811" s="21"/>
      <c r="S811" s="21"/>
      <c r="T811" s="21"/>
    </row>
    <row r="812" ht="45" customHeight="1">
      <c r="A812" t="s" s="15">
        <v>3172</v>
      </c>
      <c r="B812" s="16">
        <v>2023</v>
      </c>
      <c r="C812" t="s" s="15">
        <v>3173</v>
      </c>
      <c r="D812" t="s" s="17">
        <v>3174</v>
      </c>
      <c r="E812" t="s" s="17">
        <v>3175</v>
      </c>
      <c r="F812" s="18"/>
      <c r="G812" s="19">
        <v>2</v>
      </c>
      <c r="H812" t="s" s="20">
        <v>25</v>
      </c>
      <c r="I812" t="s" s="17">
        <v>42</v>
      </c>
      <c r="J812" s="18"/>
      <c r="K812" t="s" s="17">
        <v>276</v>
      </c>
      <c r="L812" t="s" s="17">
        <v>26</v>
      </c>
      <c r="M812" s="18"/>
      <c r="N812" t="s" s="17">
        <v>316</v>
      </c>
      <c r="O812" t="s" s="20">
        <v>3176</v>
      </c>
      <c r="P812" s="21"/>
      <c r="Q812" s="21"/>
      <c r="R812" s="21"/>
      <c r="S812" s="21"/>
      <c r="T812" s="21"/>
    </row>
    <row r="813" ht="30" customHeight="1">
      <c r="A813" t="s" s="15">
        <v>3177</v>
      </c>
      <c r="B813" s="16">
        <v>2006</v>
      </c>
      <c r="C813" t="s" s="15">
        <v>3178</v>
      </c>
      <c r="D813" t="s" s="17">
        <v>3179</v>
      </c>
      <c r="E813" t="s" s="17">
        <v>3180</v>
      </c>
      <c r="F813" s="18"/>
      <c r="G813" s="19">
        <v>3</v>
      </c>
      <c r="H813" t="s" s="20">
        <v>46</v>
      </c>
      <c r="I813" t="s" s="17">
        <v>26</v>
      </c>
      <c r="J813" t="s" s="17">
        <v>391</v>
      </c>
      <c r="K813" s="18"/>
      <c r="L813" s="18"/>
      <c r="M813" s="18"/>
      <c r="N813" s="18"/>
      <c r="O813" s="21"/>
      <c r="P813" s="21"/>
      <c r="Q813" s="21"/>
      <c r="R813" s="21"/>
      <c r="S813" s="21"/>
      <c r="T813" s="21"/>
    </row>
    <row r="814" ht="30" customHeight="1">
      <c r="A814" t="s" s="15">
        <v>3181</v>
      </c>
      <c r="B814" s="16">
        <v>2017</v>
      </c>
      <c r="C814" t="s" s="15">
        <v>3182</v>
      </c>
      <c r="D814" t="s" s="17">
        <v>3183</v>
      </c>
      <c r="E814" t="s" s="17">
        <v>3184</v>
      </c>
      <c r="F814" s="18"/>
      <c r="G814" s="19">
        <v>2</v>
      </c>
      <c r="H814" t="s" s="20">
        <v>25</v>
      </c>
      <c r="I814" t="s" s="17">
        <v>26</v>
      </c>
      <c r="J814" t="s" s="17">
        <v>31</v>
      </c>
      <c r="K814" s="18"/>
      <c r="L814" s="18"/>
      <c r="M814" s="18"/>
      <c r="N814" s="18"/>
      <c r="O814" s="21"/>
      <c r="P814" s="21"/>
      <c r="Q814" s="21"/>
      <c r="R814" s="21"/>
      <c r="S814" s="21"/>
      <c r="T814" s="21"/>
    </row>
    <row r="815" ht="26.55" customHeight="1">
      <c r="A815" t="s" s="15">
        <v>3185</v>
      </c>
      <c r="B815" s="16">
        <v>2019</v>
      </c>
      <c r="C815" t="s" s="15">
        <v>3186</v>
      </c>
      <c r="D815" t="s" s="17">
        <v>3187</v>
      </c>
      <c r="E815" s="18"/>
      <c r="F815" s="18"/>
      <c r="G815" s="19">
        <v>3</v>
      </c>
      <c r="H815" t="s" s="20">
        <v>46</v>
      </c>
      <c r="I815" t="s" s="17">
        <v>26</v>
      </c>
      <c r="J815" t="s" s="17">
        <v>31</v>
      </c>
      <c r="K815" t="s" s="17">
        <v>792</v>
      </c>
      <c r="L815" s="18"/>
      <c r="M815" s="18"/>
      <c r="N815" s="18"/>
      <c r="O815" s="21"/>
      <c r="P815" s="21"/>
      <c r="Q815" s="21"/>
      <c r="R815" s="21"/>
      <c r="S815" s="21"/>
      <c r="T815" s="21"/>
    </row>
    <row r="816" ht="39.55" customHeight="1">
      <c r="A816" t="s" s="15">
        <v>3188</v>
      </c>
      <c r="B816" s="16">
        <v>2022</v>
      </c>
      <c r="C816" t="s" s="15">
        <v>3189</v>
      </c>
      <c r="D816" t="s" s="17">
        <v>3190</v>
      </c>
      <c r="E816" t="s" s="17">
        <v>3191</v>
      </c>
      <c r="F816" s="18"/>
      <c r="G816" s="19">
        <v>2</v>
      </c>
      <c r="H816" t="s" s="20">
        <v>25</v>
      </c>
      <c r="I816" t="s" s="17">
        <v>42</v>
      </c>
      <c r="J816" s="18"/>
      <c r="K816" t="s" s="17">
        <v>276</v>
      </c>
      <c r="L816" t="s" s="17">
        <v>42</v>
      </c>
      <c r="M816" t="s" s="17">
        <v>44</v>
      </c>
      <c r="N816" s="18"/>
      <c r="O816" s="21"/>
      <c r="P816" t="s" s="20">
        <v>46</v>
      </c>
      <c r="Q816" t="s" s="20">
        <v>47</v>
      </c>
      <c r="R816" t="s" s="20">
        <v>1468</v>
      </c>
      <c r="S816" t="s" s="20">
        <v>47</v>
      </c>
      <c r="T816" s="21"/>
    </row>
    <row r="817" ht="30" customHeight="1">
      <c r="A817" t="s" s="15">
        <v>3192</v>
      </c>
      <c r="B817" s="16">
        <v>2005</v>
      </c>
      <c r="C817" t="s" s="15">
        <v>3193</v>
      </c>
      <c r="D817" t="s" s="17">
        <v>3194</v>
      </c>
      <c r="E817" t="s" s="17">
        <v>3195</v>
      </c>
      <c r="F817" s="18"/>
      <c r="G817" s="19">
        <v>2</v>
      </c>
      <c r="H817" t="s" s="20">
        <v>25</v>
      </c>
      <c r="I817" t="s" s="17">
        <v>26</v>
      </c>
      <c r="J817" t="s" s="17">
        <v>93</v>
      </c>
      <c r="K817" s="18"/>
      <c r="L817" s="18"/>
      <c r="M817" s="18"/>
      <c r="N817" s="18"/>
      <c r="O817" s="21"/>
      <c r="P817" s="21"/>
      <c r="Q817" s="21"/>
      <c r="R817" s="21"/>
      <c r="S817" s="21"/>
      <c r="T817" s="21"/>
    </row>
    <row r="818" ht="39.55" customHeight="1">
      <c r="A818" t="s" s="15">
        <v>3196</v>
      </c>
      <c r="B818" s="16">
        <v>2005</v>
      </c>
      <c r="C818" t="s" s="15">
        <v>3197</v>
      </c>
      <c r="D818" t="s" s="17">
        <v>3198</v>
      </c>
      <c r="E818" t="s" s="17">
        <v>3199</v>
      </c>
      <c r="F818" s="18"/>
      <c r="G818" s="19">
        <v>2</v>
      </c>
      <c r="H818" t="s" s="20">
        <v>25</v>
      </c>
      <c r="I818" t="s" s="17">
        <v>26</v>
      </c>
      <c r="J818" t="s" s="17">
        <v>27</v>
      </c>
      <c r="K818" s="18"/>
      <c r="L818" s="18"/>
      <c r="M818" s="18"/>
      <c r="N818" s="18"/>
      <c r="O818" s="21"/>
      <c r="P818" s="21"/>
      <c r="Q818" s="21"/>
      <c r="R818" s="21"/>
      <c r="S818" s="21"/>
      <c r="T818" s="21"/>
    </row>
    <row r="819" ht="30" customHeight="1">
      <c r="A819" t="s" s="15">
        <v>3200</v>
      </c>
      <c r="B819" s="16">
        <v>2008</v>
      </c>
      <c r="C819" t="s" s="15">
        <v>3197</v>
      </c>
      <c r="D819" t="s" s="17">
        <v>3201</v>
      </c>
      <c r="E819" t="s" s="17">
        <v>3202</v>
      </c>
      <c r="F819" s="18"/>
      <c r="G819" s="19">
        <v>2</v>
      </c>
      <c r="H819" t="s" s="20">
        <v>25</v>
      </c>
      <c r="I819" t="s" s="17">
        <v>26</v>
      </c>
      <c r="J819" t="s" s="17">
        <v>27</v>
      </c>
      <c r="K819" s="18"/>
      <c r="L819" s="18"/>
      <c r="M819" s="18"/>
      <c r="N819" s="18"/>
      <c r="O819" s="21"/>
      <c r="P819" s="21"/>
      <c r="Q819" s="21"/>
      <c r="R819" s="21"/>
      <c r="S819" s="21"/>
      <c r="T819" s="21"/>
    </row>
    <row r="820" ht="30" customHeight="1">
      <c r="A820" t="s" s="15">
        <v>3203</v>
      </c>
      <c r="B820" s="16">
        <v>2017</v>
      </c>
      <c r="C820" t="s" s="15">
        <v>3204</v>
      </c>
      <c r="D820" t="s" s="17">
        <v>3205</v>
      </c>
      <c r="E820" t="s" s="17">
        <v>3206</v>
      </c>
      <c r="F820" s="18"/>
      <c r="G820" s="19">
        <v>2</v>
      </c>
      <c r="H820" t="s" s="20">
        <v>25</v>
      </c>
      <c r="I820" t="s" s="17">
        <v>26</v>
      </c>
      <c r="J820" t="s" s="17">
        <v>187</v>
      </c>
      <c r="K820" s="18"/>
      <c r="L820" s="18"/>
      <c r="M820" s="18"/>
      <c r="N820" s="18"/>
      <c r="O820" s="21"/>
      <c r="P820" s="21"/>
      <c r="Q820" s="21"/>
      <c r="R820" s="21"/>
      <c r="S820" s="21"/>
      <c r="T820" s="21"/>
    </row>
    <row r="821" ht="30" customHeight="1">
      <c r="A821" t="s" s="15">
        <v>3207</v>
      </c>
      <c r="B821" s="16">
        <v>2022</v>
      </c>
      <c r="C821" t="s" s="15">
        <v>3204</v>
      </c>
      <c r="D821" t="s" s="17">
        <v>3208</v>
      </c>
      <c r="E821" t="s" s="17">
        <v>3209</v>
      </c>
      <c r="F821" s="18"/>
      <c r="G821" s="19">
        <v>3</v>
      </c>
      <c r="H821" t="s" s="20">
        <v>46</v>
      </c>
      <c r="I821" t="s" s="17">
        <v>26</v>
      </c>
      <c r="J821" t="s" s="17">
        <v>31</v>
      </c>
      <c r="K821" s="18"/>
      <c r="L821" s="18"/>
      <c r="M821" s="18"/>
      <c r="N821" s="18"/>
      <c r="O821" s="21"/>
      <c r="P821" s="21"/>
      <c r="Q821" s="21"/>
      <c r="R821" s="21"/>
      <c r="S821" s="21"/>
      <c r="T821" s="21"/>
    </row>
    <row r="822" ht="13.55" customHeight="1">
      <c r="A822" t="s" s="15">
        <v>3210</v>
      </c>
      <c r="B822" s="16">
        <v>2014</v>
      </c>
      <c r="C822" t="s" s="15">
        <v>3211</v>
      </c>
      <c r="D822" t="s" s="17">
        <v>3212</v>
      </c>
      <c r="E822" t="s" s="17">
        <v>3213</v>
      </c>
      <c r="F822" s="18"/>
      <c r="G822" s="19">
        <v>3</v>
      </c>
      <c r="H822" t="s" s="20">
        <v>46</v>
      </c>
      <c r="I822" t="s" s="17">
        <v>26</v>
      </c>
      <c r="J822" t="s" s="17">
        <v>391</v>
      </c>
      <c r="K822" s="18"/>
      <c r="L822" s="18"/>
      <c r="M822" s="18"/>
      <c r="N822" s="18"/>
      <c r="O822" s="21"/>
      <c r="P822" s="21"/>
      <c r="Q822" s="21"/>
      <c r="R822" s="21"/>
      <c r="S822" s="21"/>
      <c r="T822" s="21"/>
    </row>
    <row r="823" ht="45" customHeight="1">
      <c r="A823" t="s" s="15">
        <v>3214</v>
      </c>
      <c r="B823" s="16">
        <v>2015</v>
      </c>
      <c r="C823" t="s" s="15">
        <v>3211</v>
      </c>
      <c r="D823" t="s" s="17">
        <v>3215</v>
      </c>
      <c r="E823" t="s" s="17">
        <v>3216</v>
      </c>
      <c r="F823" s="18"/>
      <c r="G823" s="19">
        <v>3</v>
      </c>
      <c r="H823" t="s" s="20">
        <v>46</v>
      </c>
      <c r="I823" t="s" s="17">
        <v>42</v>
      </c>
      <c r="J823" s="18"/>
      <c r="K823" t="s" s="17">
        <v>43</v>
      </c>
      <c r="L823" t="s" s="17">
        <v>42</v>
      </c>
      <c r="M823" t="s" s="17">
        <v>212</v>
      </c>
      <c r="N823" s="18"/>
      <c r="O823" s="21"/>
      <c r="P823" t="s" s="20">
        <v>25</v>
      </c>
      <c r="Q823" s="21"/>
      <c r="R823" s="21"/>
      <c r="S823" s="21"/>
      <c r="T823" s="21"/>
    </row>
    <row r="824" ht="30" customHeight="1">
      <c r="A824" t="s" s="15">
        <v>3217</v>
      </c>
      <c r="B824" s="16">
        <v>2020</v>
      </c>
      <c r="C824" t="s" s="15">
        <v>3211</v>
      </c>
      <c r="D824" t="s" s="17">
        <v>3218</v>
      </c>
      <c r="E824" t="s" s="17">
        <v>3219</v>
      </c>
      <c r="F824" s="18"/>
      <c r="G824" s="19">
        <v>2</v>
      </c>
      <c r="H824" t="s" s="20">
        <v>25</v>
      </c>
      <c r="I824" t="s" s="17">
        <v>26</v>
      </c>
      <c r="J824" t="s" s="17">
        <v>2070</v>
      </c>
      <c r="K824" s="18"/>
      <c r="L824" s="18"/>
      <c r="M824" s="18"/>
      <c r="N824" s="18"/>
      <c r="O824" s="21"/>
      <c r="P824" s="21"/>
      <c r="Q824" s="21"/>
      <c r="R824" s="21"/>
      <c r="S824" s="21"/>
      <c r="T824" s="21"/>
    </row>
    <row r="825" ht="45" customHeight="1">
      <c r="A825" t="s" s="15">
        <v>3220</v>
      </c>
      <c r="B825" s="16">
        <v>2021</v>
      </c>
      <c r="C825" t="s" s="15">
        <v>3211</v>
      </c>
      <c r="D825" t="s" s="17">
        <v>3221</v>
      </c>
      <c r="E825" t="s" s="17">
        <v>3222</v>
      </c>
      <c r="F825" s="18"/>
      <c r="G825" s="19">
        <v>3</v>
      </c>
      <c r="H825" t="s" s="20">
        <v>46</v>
      </c>
      <c r="I825" t="s" s="17">
        <v>26</v>
      </c>
      <c r="J825" t="s" s="17">
        <v>3223</v>
      </c>
      <c r="K825" s="18"/>
      <c r="L825" s="18"/>
      <c r="M825" s="18"/>
      <c r="N825" s="18"/>
      <c r="O825" s="21"/>
      <c r="P825" s="21"/>
      <c r="Q825" s="21"/>
      <c r="R825" s="21"/>
      <c r="S825" s="21"/>
      <c r="T825" s="21"/>
    </row>
    <row r="826" ht="39.55" customHeight="1">
      <c r="A826" t="s" s="15">
        <v>3224</v>
      </c>
      <c r="B826" s="16">
        <v>2016</v>
      </c>
      <c r="C826" t="s" s="15">
        <v>3225</v>
      </c>
      <c r="D826" t="s" s="17">
        <v>3226</v>
      </c>
      <c r="E826" t="s" s="17">
        <v>3227</v>
      </c>
      <c r="F826" s="18"/>
      <c r="G826" s="19">
        <v>3</v>
      </c>
      <c r="H826" t="s" s="20">
        <v>46</v>
      </c>
      <c r="I826" t="s" s="17">
        <v>26</v>
      </c>
      <c r="J826" t="s" s="17">
        <v>93</v>
      </c>
      <c r="K826" s="18"/>
      <c r="L826" s="18"/>
      <c r="M826" s="18"/>
      <c r="N826" s="18"/>
      <c r="O826" s="21"/>
      <c r="P826" s="21"/>
      <c r="Q826" s="21"/>
      <c r="R826" s="21"/>
      <c r="S826" s="21"/>
      <c r="T826" s="21"/>
    </row>
    <row r="827" ht="30" customHeight="1">
      <c r="A827" t="s" s="15">
        <v>3228</v>
      </c>
      <c r="B827" s="16">
        <v>2008</v>
      </c>
      <c r="C827" t="s" s="15">
        <v>3229</v>
      </c>
      <c r="D827" t="s" s="17">
        <v>3230</v>
      </c>
      <c r="E827" t="s" s="17">
        <v>3231</v>
      </c>
      <c r="F827" s="18"/>
      <c r="G827" s="19">
        <v>3</v>
      </c>
      <c r="H827" t="s" s="20">
        <v>46</v>
      </c>
      <c r="I827" t="s" s="17">
        <v>26</v>
      </c>
      <c r="J827" t="s" s="17">
        <v>391</v>
      </c>
      <c r="K827" s="18"/>
      <c r="L827" s="18"/>
      <c r="M827" s="18"/>
      <c r="N827" s="18"/>
      <c r="O827" s="21"/>
      <c r="P827" s="21"/>
      <c r="Q827" s="21"/>
      <c r="R827" s="21"/>
      <c r="S827" s="21"/>
      <c r="T827" s="21"/>
    </row>
    <row r="828" ht="45" customHeight="1">
      <c r="A828" t="s" s="15">
        <v>3232</v>
      </c>
      <c r="B828" s="16">
        <v>2015</v>
      </c>
      <c r="C828" t="s" s="15">
        <v>3233</v>
      </c>
      <c r="D828" t="s" s="17">
        <v>3234</v>
      </c>
      <c r="E828" t="s" s="17">
        <v>3235</v>
      </c>
      <c r="F828" s="18"/>
      <c r="G828" s="19">
        <v>2</v>
      </c>
      <c r="H828" t="s" s="20">
        <v>25</v>
      </c>
      <c r="I828" t="s" s="17">
        <v>42</v>
      </c>
      <c r="J828" s="18"/>
      <c r="K828" t="s" s="17">
        <v>43</v>
      </c>
      <c r="L828" t="s" s="17">
        <v>42</v>
      </c>
      <c r="M828" t="s" s="17">
        <v>44</v>
      </c>
      <c r="N828" s="18"/>
      <c r="O828" s="21"/>
      <c r="P828" t="s" s="20">
        <v>25</v>
      </c>
      <c r="Q828" s="21"/>
      <c r="R828" s="21"/>
      <c r="S828" s="21"/>
      <c r="T828" s="21"/>
    </row>
    <row r="829" ht="30" customHeight="1">
      <c r="A829" t="s" s="15">
        <v>3236</v>
      </c>
      <c r="B829" s="16">
        <v>2022</v>
      </c>
      <c r="C829" t="s" s="15">
        <v>3233</v>
      </c>
      <c r="D829" t="s" s="17">
        <v>3237</v>
      </c>
      <c r="E829" t="s" s="17">
        <v>3238</v>
      </c>
      <c r="F829" s="18"/>
      <c r="G829" s="19">
        <v>2</v>
      </c>
      <c r="H829" t="s" s="20">
        <v>25</v>
      </c>
      <c r="I829" t="s" s="17">
        <v>26</v>
      </c>
      <c r="J829" t="s" s="17">
        <v>391</v>
      </c>
      <c r="K829" s="18"/>
      <c r="L829" s="18"/>
      <c r="M829" s="18"/>
      <c r="N829" s="18"/>
      <c r="O829" s="21"/>
      <c r="P829" s="21"/>
      <c r="Q829" s="21"/>
      <c r="R829" s="21"/>
      <c r="S829" s="21"/>
      <c r="T829" s="21"/>
    </row>
    <row r="830" ht="13.55" customHeight="1">
      <c r="A830" t="s" s="15">
        <v>3239</v>
      </c>
      <c r="B830" s="16">
        <v>2013</v>
      </c>
      <c r="C830" t="s" s="15">
        <v>3240</v>
      </c>
      <c r="D830" t="s" s="17">
        <v>3241</v>
      </c>
      <c r="E830" t="s" s="17">
        <v>3242</v>
      </c>
      <c r="F830" s="18"/>
      <c r="G830" s="19">
        <v>2</v>
      </c>
      <c r="H830" t="s" s="20">
        <v>25</v>
      </c>
      <c r="I830" t="s" s="17">
        <v>26</v>
      </c>
      <c r="J830" t="s" s="17">
        <v>391</v>
      </c>
      <c r="K830" s="18"/>
      <c r="L830" s="18"/>
      <c r="M830" s="18"/>
      <c r="N830" s="18"/>
      <c r="O830" s="21"/>
      <c r="P830" s="21"/>
      <c r="Q830" s="21"/>
      <c r="R830" s="21"/>
      <c r="S830" s="21"/>
      <c r="T830" s="21"/>
    </row>
    <row r="831" ht="30" customHeight="1">
      <c r="A831" t="s" s="15">
        <v>3243</v>
      </c>
      <c r="B831" s="16">
        <v>2011</v>
      </c>
      <c r="C831" t="s" s="15">
        <v>3244</v>
      </c>
      <c r="D831" t="s" s="17">
        <v>3245</v>
      </c>
      <c r="E831" t="s" s="17">
        <v>3246</v>
      </c>
      <c r="F831" s="18"/>
      <c r="G831" s="19">
        <v>2</v>
      </c>
      <c r="H831" t="s" s="20">
        <v>25</v>
      </c>
      <c r="I831" t="s" s="17">
        <v>26</v>
      </c>
      <c r="J831" t="s" s="17">
        <v>391</v>
      </c>
      <c r="K831" s="18"/>
      <c r="L831" s="18"/>
      <c r="M831" s="18"/>
      <c r="N831" s="18"/>
      <c r="O831" s="21"/>
      <c r="P831" s="21"/>
      <c r="Q831" s="21"/>
      <c r="R831" s="21"/>
      <c r="S831" s="21"/>
      <c r="T831" s="21"/>
    </row>
    <row r="832" ht="30" customHeight="1">
      <c r="A832" t="s" s="15">
        <v>3247</v>
      </c>
      <c r="B832" s="16">
        <v>2007</v>
      </c>
      <c r="C832" t="s" s="15">
        <v>3248</v>
      </c>
      <c r="D832" t="s" s="17">
        <v>3249</v>
      </c>
      <c r="E832" t="s" s="17">
        <v>3250</v>
      </c>
      <c r="F832" s="18"/>
      <c r="G832" s="19">
        <v>2</v>
      </c>
      <c r="H832" t="s" s="20">
        <v>25</v>
      </c>
      <c r="I832" t="s" s="17">
        <v>42</v>
      </c>
      <c r="J832" s="18"/>
      <c r="K832" t="s" s="17">
        <v>43</v>
      </c>
      <c r="L832" t="s" s="17">
        <v>42</v>
      </c>
      <c r="M832" t="s" s="17">
        <v>44</v>
      </c>
      <c r="N832" s="18"/>
      <c r="O832" s="21"/>
      <c r="P832" t="s" s="20">
        <v>46</v>
      </c>
      <c r="Q832" t="s" s="20">
        <v>47</v>
      </c>
      <c r="R832" t="s" s="20">
        <v>3251</v>
      </c>
      <c r="S832" t="s" s="20">
        <v>47</v>
      </c>
      <c r="T832" s="21"/>
    </row>
    <row r="833" ht="26.55" customHeight="1">
      <c r="A833" t="s" s="15">
        <v>3252</v>
      </c>
      <c r="B833" s="16">
        <v>2008</v>
      </c>
      <c r="C833" t="s" s="15">
        <v>3248</v>
      </c>
      <c r="D833" t="s" s="17">
        <v>3253</v>
      </c>
      <c r="E833" t="s" s="17">
        <v>3254</v>
      </c>
      <c r="F833" s="18"/>
      <c r="G833" s="19">
        <v>3</v>
      </c>
      <c r="H833" t="s" s="20">
        <v>46</v>
      </c>
      <c r="I833" t="s" s="17">
        <v>42</v>
      </c>
      <c r="J833" s="18"/>
      <c r="K833" t="s" s="17">
        <v>43</v>
      </c>
      <c r="L833" t="s" s="17">
        <v>42</v>
      </c>
      <c r="M833" t="s" s="17">
        <v>44</v>
      </c>
      <c r="N833" s="18"/>
      <c r="O833" s="21"/>
      <c r="P833" t="s" s="20">
        <v>25</v>
      </c>
      <c r="Q833" s="21"/>
      <c r="R833" s="21"/>
      <c r="S833" s="21"/>
      <c r="T833" s="21"/>
    </row>
    <row r="834" ht="45" customHeight="1">
      <c r="A834" t="s" s="15">
        <v>3255</v>
      </c>
      <c r="B834" s="16">
        <v>2010</v>
      </c>
      <c r="C834" t="s" s="15">
        <v>3256</v>
      </c>
      <c r="D834" t="s" s="17">
        <v>3257</v>
      </c>
      <c r="E834" t="s" s="17">
        <v>3258</v>
      </c>
      <c r="F834" s="18"/>
      <c r="G834" s="19">
        <v>3</v>
      </c>
      <c r="H834" t="s" s="20">
        <v>46</v>
      </c>
      <c r="I834" t="s" s="17">
        <v>26</v>
      </c>
      <c r="J834" t="s" s="17">
        <v>405</v>
      </c>
      <c r="K834" s="18"/>
      <c r="L834" s="18"/>
      <c r="M834" s="18"/>
      <c r="N834" s="18"/>
      <c r="O834" s="21"/>
      <c r="P834" s="21"/>
      <c r="Q834" s="21"/>
      <c r="R834" s="21"/>
      <c r="S834" s="21"/>
      <c r="T834" s="21"/>
    </row>
    <row r="835" ht="30" customHeight="1">
      <c r="A835" t="s" s="15">
        <v>3259</v>
      </c>
      <c r="B835" s="16">
        <v>2019</v>
      </c>
      <c r="C835" t="s" s="15">
        <v>3260</v>
      </c>
      <c r="D835" t="s" s="17">
        <v>3261</v>
      </c>
      <c r="E835" s="18"/>
      <c r="F835" s="18"/>
      <c r="G835" s="19">
        <v>3</v>
      </c>
      <c r="H835" t="s" s="20">
        <v>46</v>
      </c>
      <c r="I835" t="s" s="17">
        <v>26</v>
      </c>
      <c r="J835" t="s" s="17">
        <v>131</v>
      </c>
      <c r="K835" s="18"/>
      <c r="L835" s="18"/>
      <c r="M835" s="18"/>
      <c r="N835" s="18"/>
      <c r="O835" s="21"/>
      <c r="P835" s="21"/>
      <c r="Q835" s="21"/>
      <c r="R835" s="21"/>
      <c r="S835" s="21"/>
      <c r="T835" s="21"/>
    </row>
    <row r="836" ht="30" customHeight="1">
      <c r="A836" t="s" s="15">
        <v>3262</v>
      </c>
      <c r="B836" s="16">
        <v>2020</v>
      </c>
      <c r="C836" t="s" s="15">
        <v>3263</v>
      </c>
      <c r="D836" t="s" s="17">
        <v>3264</v>
      </c>
      <c r="E836" t="s" s="17">
        <v>3265</v>
      </c>
      <c r="F836" s="18"/>
      <c r="G836" s="19">
        <v>3</v>
      </c>
      <c r="H836" t="s" s="20">
        <v>46</v>
      </c>
      <c r="I836" t="s" s="17">
        <v>26</v>
      </c>
      <c r="J836" t="s" s="17">
        <v>3266</v>
      </c>
      <c r="K836" s="18"/>
      <c r="L836" s="18"/>
      <c r="M836" s="18"/>
      <c r="N836" s="18"/>
      <c r="O836" s="21"/>
      <c r="P836" s="21"/>
      <c r="Q836" s="21"/>
      <c r="R836" s="21"/>
      <c r="S836" s="21"/>
      <c r="T836" s="21"/>
    </row>
    <row r="837" ht="30" customHeight="1">
      <c r="A837" t="s" s="15">
        <v>3267</v>
      </c>
      <c r="B837" s="16">
        <v>2016</v>
      </c>
      <c r="C837" t="s" s="15">
        <v>3268</v>
      </c>
      <c r="D837" t="s" s="17">
        <v>3269</v>
      </c>
      <c r="E837" t="s" s="17">
        <v>3270</v>
      </c>
      <c r="F837" s="18"/>
      <c r="G837" s="19">
        <v>3</v>
      </c>
      <c r="H837" t="s" s="20">
        <v>25</v>
      </c>
      <c r="I837" t="s" s="17">
        <v>26</v>
      </c>
      <c r="J837" t="s" s="17">
        <v>662</v>
      </c>
      <c r="K837" s="18"/>
      <c r="L837" s="18"/>
      <c r="M837" s="18"/>
      <c r="N837" s="18"/>
      <c r="O837" s="21"/>
      <c r="P837" s="21"/>
      <c r="Q837" s="21"/>
      <c r="R837" s="21"/>
      <c r="S837" s="21"/>
      <c r="T837" s="21"/>
    </row>
    <row r="838" ht="30" customHeight="1">
      <c r="A838" t="s" s="15">
        <v>3271</v>
      </c>
      <c r="B838" s="16">
        <v>2017</v>
      </c>
      <c r="C838" t="s" s="15">
        <v>3268</v>
      </c>
      <c r="D838" t="s" s="17">
        <v>3272</v>
      </c>
      <c r="E838" t="s" s="17">
        <v>3273</v>
      </c>
      <c r="F838" s="18"/>
      <c r="G838" s="19">
        <v>2</v>
      </c>
      <c r="H838" t="s" s="20">
        <v>25</v>
      </c>
      <c r="I838" t="s" s="17">
        <v>26</v>
      </c>
      <c r="J838" t="s" s="17">
        <v>2415</v>
      </c>
      <c r="K838" s="18"/>
      <c r="L838" s="18"/>
      <c r="M838" s="18"/>
      <c r="N838" s="18"/>
      <c r="O838" s="21"/>
      <c r="P838" s="21"/>
      <c r="Q838" s="21"/>
      <c r="R838" s="21"/>
      <c r="S838" s="21"/>
      <c r="T838" s="21"/>
    </row>
    <row r="839" ht="30" customHeight="1">
      <c r="A839" t="s" s="15">
        <v>3274</v>
      </c>
      <c r="B839" s="16">
        <v>2008</v>
      </c>
      <c r="C839" t="s" s="15">
        <v>3275</v>
      </c>
      <c r="D839" t="s" s="17">
        <v>3276</v>
      </c>
      <c r="E839" t="s" s="17">
        <v>3277</v>
      </c>
      <c r="F839" s="18"/>
      <c r="G839" s="19">
        <v>2</v>
      </c>
      <c r="H839" t="s" s="20">
        <v>25</v>
      </c>
      <c r="I839" t="s" s="17">
        <v>42</v>
      </c>
      <c r="J839" s="18"/>
      <c r="K839" t="s" s="17">
        <v>43</v>
      </c>
      <c r="L839" t="s" s="17">
        <v>42</v>
      </c>
      <c r="M839" t="s" s="17">
        <v>505</v>
      </c>
      <c r="N839" s="18"/>
      <c r="O839" s="21"/>
      <c r="P839" t="s" s="20">
        <v>25</v>
      </c>
      <c r="Q839" s="21"/>
      <c r="R839" s="21"/>
      <c r="S839" s="21"/>
      <c r="T839" s="21"/>
    </row>
    <row r="840" ht="26.55" customHeight="1">
      <c r="A840" t="s" s="15">
        <v>3278</v>
      </c>
      <c r="B840" s="16">
        <v>2012</v>
      </c>
      <c r="C840" t="s" s="15">
        <v>3275</v>
      </c>
      <c r="D840" t="s" s="17">
        <v>3279</v>
      </c>
      <c r="E840" s="18"/>
      <c r="F840" s="18"/>
      <c r="G840" s="19">
        <v>2</v>
      </c>
      <c r="H840" t="s" s="20">
        <v>25</v>
      </c>
      <c r="I840" t="s" s="17">
        <v>42</v>
      </c>
      <c r="J840" s="18"/>
      <c r="K840" t="s" s="17">
        <v>43</v>
      </c>
      <c r="L840" t="s" s="17">
        <v>42</v>
      </c>
      <c r="M840" t="s" s="17">
        <v>44</v>
      </c>
      <c r="N840" s="18"/>
      <c r="O840" s="21"/>
      <c r="P840" t="s" s="20">
        <v>25</v>
      </c>
      <c r="Q840" s="21"/>
      <c r="R840" s="21"/>
      <c r="S840" s="21"/>
      <c r="T840" s="21"/>
    </row>
    <row r="841" ht="30" customHeight="1">
      <c r="A841" t="s" s="15">
        <v>3280</v>
      </c>
      <c r="B841" s="16">
        <v>2017</v>
      </c>
      <c r="C841" t="s" s="15">
        <v>3281</v>
      </c>
      <c r="D841" t="s" s="17">
        <v>3282</v>
      </c>
      <c r="E841" t="s" s="17">
        <v>3283</v>
      </c>
      <c r="F841" s="18"/>
      <c r="G841" s="19">
        <v>3</v>
      </c>
      <c r="H841" t="s" s="20">
        <v>46</v>
      </c>
      <c r="I841" t="s" s="17">
        <v>26</v>
      </c>
      <c r="J841" t="s" s="17">
        <v>93</v>
      </c>
      <c r="K841" t="s" s="17">
        <v>792</v>
      </c>
      <c r="L841" s="18"/>
      <c r="M841" s="18"/>
      <c r="N841" s="18"/>
      <c r="O841" s="21"/>
      <c r="P841" s="21"/>
      <c r="Q841" s="21"/>
      <c r="R841" s="21"/>
      <c r="S841" s="21"/>
      <c r="T841" s="21"/>
    </row>
    <row r="842" ht="30" customHeight="1">
      <c r="A842" t="s" s="15">
        <v>3284</v>
      </c>
      <c r="B842" s="16">
        <v>2012</v>
      </c>
      <c r="C842" t="s" s="15">
        <v>3285</v>
      </c>
      <c r="D842" t="s" s="17">
        <v>3286</v>
      </c>
      <c r="E842" t="s" s="17">
        <v>3287</v>
      </c>
      <c r="F842" s="18"/>
      <c r="G842" s="19">
        <v>3</v>
      </c>
      <c r="H842" t="s" s="20">
        <v>25</v>
      </c>
      <c r="I842" t="s" s="17">
        <v>26</v>
      </c>
      <c r="J842" t="s" s="17">
        <v>93</v>
      </c>
      <c r="K842" s="18"/>
      <c r="L842" s="18"/>
      <c r="M842" s="18"/>
      <c r="N842" s="18"/>
      <c r="O842" s="21"/>
      <c r="P842" s="21"/>
      <c r="Q842" s="21"/>
      <c r="R842" s="21"/>
      <c r="S842" s="21"/>
      <c r="T842" s="21"/>
    </row>
    <row r="843" ht="30" customHeight="1">
      <c r="A843" t="s" s="15">
        <v>3288</v>
      </c>
      <c r="B843" s="16">
        <v>2014</v>
      </c>
      <c r="C843" t="s" s="15">
        <v>3285</v>
      </c>
      <c r="D843" t="s" s="17">
        <v>3289</v>
      </c>
      <c r="E843" t="s" s="17">
        <v>3290</v>
      </c>
      <c r="F843" s="18"/>
      <c r="G843" s="19">
        <v>2</v>
      </c>
      <c r="H843" t="s" s="20">
        <v>25</v>
      </c>
      <c r="I843" t="s" s="17">
        <v>42</v>
      </c>
      <c r="J843" s="18"/>
      <c r="K843" t="s" s="17">
        <v>43</v>
      </c>
      <c r="L843" t="s" s="17">
        <v>42</v>
      </c>
      <c r="M843" t="s" s="17">
        <v>505</v>
      </c>
      <c r="N843" s="18"/>
      <c r="O843" s="21"/>
      <c r="P843" t="s" s="20">
        <v>25</v>
      </c>
      <c r="Q843" s="21"/>
      <c r="R843" s="21"/>
      <c r="S843" s="21"/>
      <c r="T843" s="21"/>
    </row>
    <row r="844" ht="30" customHeight="1">
      <c r="A844" t="s" s="15">
        <v>3291</v>
      </c>
      <c r="B844" s="16">
        <v>2017</v>
      </c>
      <c r="C844" t="s" s="15">
        <v>3285</v>
      </c>
      <c r="D844" t="s" s="17">
        <v>3292</v>
      </c>
      <c r="E844" t="s" s="17">
        <v>3293</v>
      </c>
      <c r="F844" s="18"/>
      <c r="G844" s="19">
        <v>2</v>
      </c>
      <c r="H844" t="s" s="20">
        <v>25</v>
      </c>
      <c r="I844" t="s" s="17">
        <v>42</v>
      </c>
      <c r="J844" s="18"/>
      <c r="K844" t="s" s="17">
        <v>43</v>
      </c>
      <c r="L844" t="s" s="17">
        <v>26</v>
      </c>
      <c r="M844" s="18"/>
      <c r="N844" t="s" s="17">
        <v>662</v>
      </c>
      <c r="O844" t="s" s="20">
        <v>3294</v>
      </c>
      <c r="P844" s="21"/>
      <c r="Q844" s="21"/>
      <c r="R844" s="21"/>
      <c r="S844" s="21"/>
      <c r="T844" s="21"/>
    </row>
    <row r="845" ht="30" customHeight="1">
      <c r="A845" t="s" s="15">
        <v>3295</v>
      </c>
      <c r="B845" s="16">
        <v>2020</v>
      </c>
      <c r="C845" t="s" s="15">
        <v>3285</v>
      </c>
      <c r="D845" t="s" s="17">
        <v>3296</v>
      </c>
      <c r="E845" t="s" s="17">
        <v>3297</v>
      </c>
      <c r="F845" s="18"/>
      <c r="G845" s="19">
        <v>2</v>
      </c>
      <c r="H845" t="s" s="20">
        <v>25</v>
      </c>
      <c r="I845" t="s" s="17">
        <v>42</v>
      </c>
      <c r="J845" s="18"/>
      <c r="K845" t="s" s="17">
        <v>43</v>
      </c>
      <c r="L845" t="s" s="17">
        <v>26</v>
      </c>
      <c r="M845" s="18"/>
      <c r="N845" t="s" s="17">
        <v>2590</v>
      </c>
      <c r="O845" t="s" s="20">
        <v>3298</v>
      </c>
      <c r="P845" s="21"/>
      <c r="Q845" s="21"/>
      <c r="R845" s="21"/>
      <c r="S845" s="21"/>
      <c r="T845" s="21"/>
    </row>
    <row r="846" ht="30" customHeight="1">
      <c r="A846" t="s" s="15">
        <v>3299</v>
      </c>
      <c r="B846" s="16">
        <v>2016</v>
      </c>
      <c r="C846" t="s" s="15">
        <v>3300</v>
      </c>
      <c r="D846" t="s" s="17">
        <v>3301</v>
      </c>
      <c r="E846" t="s" s="17">
        <v>3302</v>
      </c>
      <c r="F846" s="18"/>
      <c r="G846" s="19">
        <v>2</v>
      </c>
      <c r="H846" t="s" s="20">
        <v>25</v>
      </c>
      <c r="I846" t="s" s="17">
        <v>26</v>
      </c>
      <c r="J846" t="s" s="17">
        <v>93</v>
      </c>
      <c r="K846" s="18"/>
      <c r="L846" s="18"/>
      <c r="M846" s="18"/>
      <c r="N846" s="18"/>
      <c r="O846" s="21"/>
      <c r="P846" s="21"/>
      <c r="Q846" s="21"/>
      <c r="R846" s="21"/>
      <c r="S846" s="21"/>
      <c r="T846" s="21"/>
    </row>
    <row r="847" ht="30" customHeight="1">
      <c r="A847" t="s" s="15">
        <v>3303</v>
      </c>
      <c r="B847" s="16">
        <v>2017</v>
      </c>
      <c r="C847" t="s" s="15">
        <v>3300</v>
      </c>
      <c r="D847" t="s" s="17">
        <v>3304</v>
      </c>
      <c r="E847" t="s" s="17">
        <v>3305</v>
      </c>
      <c r="F847" s="18"/>
      <c r="G847" s="19">
        <v>2</v>
      </c>
      <c r="H847" t="s" s="20">
        <v>25</v>
      </c>
      <c r="I847" t="s" s="17">
        <v>42</v>
      </c>
      <c r="J847" s="18"/>
      <c r="K847" t="s" s="17">
        <v>43</v>
      </c>
      <c r="L847" t="s" s="17">
        <v>42</v>
      </c>
      <c r="M847" t="s" s="17">
        <v>44</v>
      </c>
      <c r="N847" s="18"/>
      <c r="O847" s="21"/>
      <c r="P847" t="s" s="20">
        <v>46</v>
      </c>
      <c r="Q847" t="s" s="20">
        <v>277</v>
      </c>
      <c r="R847" t="s" s="20">
        <v>3306</v>
      </c>
      <c r="S847" t="s" s="20">
        <v>47</v>
      </c>
      <c r="T847" s="23"/>
    </row>
    <row r="848" ht="45" customHeight="1">
      <c r="A848" t="s" s="15">
        <v>3307</v>
      </c>
      <c r="B848" t="s" s="15">
        <v>2059</v>
      </c>
      <c r="C848" t="s" s="15">
        <v>3300</v>
      </c>
      <c r="D848" t="s" s="17">
        <v>3308</v>
      </c>
      <c r="E848" t="s" s="17">
        <v>3309</v>
      </c>
      <c r="F848" s="18"/>
      <c r="G848" s="19">
        <v>2</v>
      </c>
      <c r="H848" t="s" s="20">
        <v>25</v>
      </c>
      <c r="I848" t="s" s="17">
        <v>42</v>
      </c>
      <c r="J848" s="18"/>
      <c r="K848" t="s" s="17">
        <v>43</v>
      </c>
      <c r="L848" t="s" s="17">
        <v>42</v>
      </c>
      <c r="M848" t="s" s="17">
        <v>44</v>
      </c>
      <c r="N848" s="18"/>
      <c r="O848" s="21"/>
      <c r="P848" t="s" s="20">
        <v>46</v>
      </c>
      <c r="Q848" t="s" s="20">
        <v>277</v>
      </c>
      <c r="R848" t="s" s="20">
        <v>3306</v>
      </c>
      <c r="S848" t="s" s="20">
        <v>47</v>
      </c>
      <c r="T848" s="21"/>
    </row>
    <row r="849" ht="30" customHeight="1">
      <c r="A849" t="s" s="15">
        <v>3310</v>
      </c>
      <c r="B849" s="16">
        <v>2018</v>
      </c>
      <c r="C849" t="s" s="15">
        <v>3300</v>
      </c>
      <c r="D849" t="s" s="17">
        <v>3311</v>
      </c>
      <c r="E849" t="s" s="17">
        <v>3312</v>
      </c>
      <c r="F849" s="18"/>
      <c r="G849" s="19">
        <v>3</v>
      </c>
      <c r="H849" t="s" s="20">
        <v>46</v>
      </c>
      <c r="I849" t="s" s="17">
        <v>42</v>
      </c>
      <c r="J849" t="s" s="17">
        <v>131</v>
      </c>
      <c r="K849" t="s" s="17">
        <v>792</v>
      </c>
      <c r="L849" s="18"/>
      <c r="M849" s="18"/>
      <c r="N849" s="18"/>
      <c r="O849" s="21"/>
      <c r="P849" s="21"/>
      <c r="Q849" s="21"/>
      <c r="R849" s="21"/>
      <c r="S849" s="21"/>
      <c r="T849" s="21"/>
    </row>
    <row r="850" ht="30" customHeight="1">
      <c r="A850" t="s" s="15">
        <v>3313</v>
      </c>
      <c r="B850" s="16">
        <v>2019</v>
      </c>
      <c r="C850" t="s" s="15">
        <v>3300</v>
      </c>
      <c r="D850" t="s" s="17">
        <v>3314</v>
      </c>
      <c r="E850" t="s" s="17">
        <v>3315</v>
      </c>
      <c r="F850" s="18"/>
      <c r="G850" s="19">
        <v>3</v>
      </c>
      <c r="H850" t="s" s="20">
        <v>46</v>
      </c>
      <c r="I850" t="s" s="17">
        <v>26</v>
      </c>
      <c r="J850" t="s" s="17">
        <v>79</v>
      </c>
      <c r="K850" t="s" s="17">
        <v>792</v>
      </c>
      <c r="L850" s="18"/>
      <c r="M850" s="18"/>
      <c r="N850" s="18"/>
      <c r="O850" s="21"/>
      <c r="P850" s="21"/>
      <c r="Q850" s="21"/>
      <c r="R850" s="21"/>
      <c r="S850" s="21"/>
      <c r="T850" s="21"/>
    </row>
    <row r="851" ht="26.55" customHeight="1">
      <c r="A851" t="s" s="15">
        <v>3316</v>
      </c>
      <c r="B851" s="16">
        <v>2014</v>
      </c>
      <c r="C851" t="s" s="15">
        <v>3317</v>
      </c>
      <c r="D851" t="s" s="17">
        <v>3318</v>
      </c>
      <c r="E851" t="s" s="17">
        <v>3319</v>
      </c>
      <c r="F851" s="18"/>
      <c r="G851" s="19">
        <v>2</v>
      </c>
      <c r="H851" t="s" s="20">
        <v>25</v>
      </c>
      <c r="I851" t="s" s="17">
        <v>26</v>
      </c>
      <c r="J851" t="s" s="17">
        <v>27</v>
      </c>
      <c r="K851" s="18"/>
      <c r="L851" s="18"/>
      <c r="M851" s="18"/>
      <c r="N851" s="18"/>
      <c r="O851" s="21"/>
      <c r="P851" s="21"/>
      <c r="Q851" s="21"/>
      <c r="R851" s="21"/>
      <c r="S851" s="21"/>
      <c r="T851" s="21"/>
    </row>
    <row r="852" ht="45" customHeight="1">
      <c r="A852" t="s" s="15">
        <v>3320</v>
      </c>
      <c r="B852" s="16">
        <v>2006</v>
      </c>
      <c r="C852" t="s" s="15">
        <v>3321</v>
      </c>
      <c r="D852" t="s" s="17">
        <v>3322</v>
      </c>
      <c r="E852" t="s" s="17">
        <v>3323</v>
      </c>
      <c r="F852" s="18"/>
      <c r="G852" s="19">
        <v>3</v>
      </c>
      <c r="H852" t="s" s="20">
        <v>46</v>
      </c>
      <c r="I852" t="s" s="17">
        <v>26</v>
      </c>
      <c r="J852" t="s" s="17">
        <v>131</v>
      </c>
      <c r="K852" s="18"/>
      <c r="L852" s="18"/>
      <c r="M852" s="18"/>
      <c r="N852" s="18"/>
      <c r="O852" s="21"/>
      <c r="P852" s="21"/>
      <c r="Q852" s="21"/>
      <c r="R852" s="21"/>
      <c r="S852" s="21"/>
      <c r="T852" s="21"/>
    </row>
    <row r="853" ht="45" customHeight="1">
      <c r="A853" t="s" s="15">
        <v>3324</v>
      </c>
      <c r="B853" s="16">
        <v>2022</v>
      </c>
      <c r="C853" t="s" s="15">
        <v>3325</v>
      </c>
      <c r="D853" t="s" s="17">
        <v>3326</v>
      </c>
      <c r="E853" t="s" s="17">
        <v>3327</v>
      </c>
      <c r="F853" s="18"/>
      <c r="G853" s="19">
        <v>3</v>
      </c>
      <c r="H853" t="s" s="20">
        <v>46</v>
      </c>
      <c r="I853" t="s" s="17">
        <v>42</v>
      </c>
      <c r="J853" s="18"/>
      <c r="K853" t="s" s="17">
        <v>293</v>
      </c>
      <c r="L853" t="s" s="17">
        <v>42</v>
      </c>
      <c r="M853" t="s" s="17">
        <v>212</v>
      </c>
      <c r="N853" s="18"/>
      <c r="O853" t="s" s="20">
        <v>2231</v>
      </c>
      <c r="P853" t="s" s="20">
        <v>46</v>
      </c>
      <c r="Q853" s="21"/>
      <c r="R853" s="21"/>
      <c r="S853" s="21"/>
      <c r="T853" s="21"/>
    </row>
    <row r="854" ht="30" customHeight="1">
      <c r="A854" t="s" s="15">
        <v>3328</v>
      </c>
      <c r="B854" s="16">
        <v>2011</v>
      </c>
      <c r="C854" t="s" s="15">
        <v>3329</v>
      </c>
      <c r="D854" t="s" s="17">
        <v>3330</v>
      </c>
      <c r="E854" t="s" s="17">
        <v>3331</v>
      </c>
      <c r="F854" s="18"/>
      <c r="G854" s="19">
        <v>3</v>
      </c>
      <c r="H854" t="s" s="20">
        <v>46</v>
      </c>
      <c r="I854" t="s" s="17">
        <v>26</v>
      </c>
      <c r="J854" t="s" s="17">
        <v>405</v>
      </c>
      <c r="K854" s="18"/>
      <c r="L854" s="18"/>
      <c r="M854" s="18"/>
      <c r="N854" s="18"/>
      <c r="O854" s="21"/>
      <c r="P854" s="21"/>
      <c r="Q854" s="21"/>
      <c r="R854" s="21"/>
      <c r="S854" s="21"/>
      <c r="T854" s="21"/>
    </row>
    <row r="855" ht="45" customHeight="1">
      <c r="A855" t="s" s="15">
        <v>3332</v>
      </c>
      <c r="B855" s="16">
        <v>2019</v>
      </c>
      <c r="C855" t="s" s="15">
        <v>3333</v>
      </c>
      <c r="D855" t="s" s="17">
        <v>3334</v>
      </c>
      <c r="E855" t="s" s="17">
        <v>3335</v>
      </c>
      <c r="F855" s="18"/>
      <c r="G855" s="19">
        <v>3</v>
      </c>
      <c r="H855" t="s" s="20">
        <v>46</v>
      </c>
      <c r="I855" t="s" s="17">
        <v>26</v>
      </c>
      <c r="J855" t="s" s="17">
        <v>93</v>
      </c>
      <c r="K855" t="s" s="17">
        <v>792</v>
      </c>
      <c r="L855" s="18"/>
      <c r="M855" s="18"/>
      <c r="N855" s="18"/>
      <c r="O855" s="21"/>
      <c r="P855" s="21"/>
      <c r="Q855" s="21"/>
      <c r="R855" s="21"/>
      <c r="S855" s="21"/>
      <c r="T855" s="21"/>
    </row>
    <row r="856" ht="30" customHeight="1">
      <c r="A856" t="s" s="15">
        <v>3336</v>
      </c>
      <c r="B856" s="16">
        <v>2023</v>
      </c>
      <c r="C856" t="s" s="15">
        <v>3337</v>
      </c>
      <c r="D856" t="s" s="17">
        <v>3338</v>
      </c>
      <c r="E856" t="s" s="17">
        <v>3339</v>
      </c>
      <c r="F856" s="18"/>
      <c r="G856" s="19">
        <v>2</v>
      </c>
      <c r="H856" t="s" s="20">
        <v>25</v>
      </c>
      <c r="I856" t="s" s="17">
        <v>26</v>
      </c>
      <c r="J856" t="s" s="17">
        <v>3340</v>
      </c>
      <c r="K856" s="18"/>
      <c r="L856" s="18"/>
      <c r="M856" s="18"/>
      <c r="N856" s="18"/>
      <c r="O856" s="21"/>
      <c r="P856" s="21"/>
      <c r="Q856" s="21"/>
      <c r="R856" s="21"/>
      <c r="S856" s="21"/>
      <c r="T856" s="21"/>
    </row>
    <row r="857" ht="30" customHeight="1">
      <c r="A857" t="s" s="15">
        <v>3341</v>
      </c>
      <c r="B857" s="16">
        <v>2007</v>
      </c>
      <c r="C857" t="s" s="15">
        <v>3342</v>
      </c>
      <c r="D857" t="s" s="17">
        <v>3343</v>
      </c>
      <c r="E857" t="s" s="17">
        <v>3344</v>
      </c>
      <c r="F857" s="18"/>
      <c r="G857" s="19">
        <v>2</v>
      </c>
      <c r="H857" t="s" s="20">
        <v>25</v>
      </c>
      <c r="I857" t="s" s="17">
        <v>26</v>
      </c>
      <c r="J857" t="s" s="17">
        <v>3340</v>
      </c>
      <c r="K857" s="18"/>
      <c r="L857" s="18"/>
      <c r="M857" s="18"/>
      <c r="N857" s="18"/>
      <c r="O857" s="21"/>
      <c r="P857" s="21"/>
      <c r="Q857" s="21"/>
      <c r="R857" s="21"/>
      <c r="S857" s="21"/>
      <c r="T857" s="21"/>
    </row>
    <row r="858" ht="30" customHeight="1">
      <c r="A858" t="s" s="15">
        <v>3345</v>
      </c>
      <c r="B858" s="16">
        <v>2021</v>
      </c>
      <c r="C858" t="s" s="15">
        <v>3346</v>
      </c>
      <c r="D858" t="s" s="17">
        <v>3347</v>
      </c>
      <c r="E858" t="s" s="17">
        <v>3348</v>
      </c>
      <c r="F858" s="18"/>
      <c r="G858" s="19">
        <v>2</v>
      </c>
      <c r="H858" t="s" s="20">
        <v>25</v>
      </c>
      <c r="I858" t="s" s="17">
        <v>26</v>
      </c>
      <c r="J858" t="s" s="17">
        <v>2070</v>
      </c>
      <c r="K858" s="18"/>
      <c r="L858" s="18"/>
      <c r="M858" s="18"/>
      <c r="N858" s="18"/>
      <c r="O858" s="21"/>
      <c r="P858" s="21"/>
      <c r="Q858" s="21"/>
      <c r="R858" s="21"/>
      <c r="S858" s="21"/>
      <c r="T858" s="21"/>
    </row>
    <row r="859" ht="30" customHeight="1">
      <c r="A859" t="s" s="15">
        <v>3349</v>
      </c>
      <c r="B859" s="16">
        <v>2005</v>
      </c>
      <c r="C859" t="s" s="15">
        <v>3350</v>
      </c>
      <c r="D859" t="s" s="17">
        <v>3351</v>
      </c>
      <c r="E859" t="s" s="17">
        <v>3352</v>
      </c>
      <c r="F859" s="18"/>
      <c r="G859" s="19">
        <v>3</v>
      </c>
      <c r="H859" t="s" s="20">
        <v>46</v>
      </c>
      <c r="I859" t="s" s="17">
        <v>26</v>
      </c>
      <c r="J859" t="s" s="17">
        <v>31</v>
      </c>
      <c r="K859" t="s" s="17">
        <v>586</v>
      </c>
      <c r="L859" s="18"/>
      <c r="M859" s="18"/>
      <c r="N859" s="18"/>
      <c r="O859" s="21"/>
      <c r="P859" s="21"/>
      <c r="Q859" s="21"/>
      <c r="R859" s="21"/>
      <c r="S859" s="21"/>
      <c r="T859" s="21"/>
    </row>
    <row r="860" ht="39.55" customHeight="1">
      <c r="A860" t="s" s="15">
        <v>3353</v>
      </c>
      <c r="B860" s="16">
        <v>2006</v>
      </c>
      <c r="C860" t="s" s="15">
        <v>3350</v>
      </c>
      <c r="D860" t="s" s="17">
        <v>3354</v>
      </c>
      <c r="E860" t="s" s="17">
        <v>3355</v>
      </c>
      <c r="F860" s="18"/>
      <c r="G860" s="19">
        <v>2</v>
      </c>
      <c r="H860" t="s" s="20">
        <v>25</v>
      </c>
      <c r="I860" t="s" s="17">
        <v>26</v>
      </c>
      <c r="J860" t="s" s="17">
        <v>119</v>
      </c>
      <c r="K860" t="s" s="17">
        <v>586</v>
      </c>
      <c r="L860" s="18"/>
      <c r="M860" s="18"/>
      <c r="N860" s="18"/>
      <c r="O860" s="21"/>
      <c r="P860" s="21"/>
      <c r="Q860" s="21"/>
      <c r="R860" s="21"/>
      <c r="S860" s="21"/>
      <c r="T860" s="21"/>
    </row>
    <row r="861" ht="26.55" customHeight="1">
      <c r="A861" t="s" s="15">
        <v>3356</v>
      </c>
      <c r="B861" s="16">
        <v>2006</v>
      </c>
      <c r="C861" t="s" s="15">
        <v>3350</v>
      </c>
      <c r="D861" t="s" s="17">
        <v>3354</v>
      </c>
      <c r="E861" t="s" s="17">
        <v>3357</v>
      </c>
      <c r="F861" s="18"/>
      <c r="G861" s="19">
        <v>3</v>
      </c>
      <c r="H861" t="s" s="20">
        <v>46</v>
      </c>
      <c r="I861" t="s" s="17">
        <v>26</v>
      </c>
      <c r="J861" t="s" s="17">
        <v>31</v>
      </c>
      <c r="K861" t="s" s="17">
        <v>586</v>
      </c>
      <c r="L861" s="18"/>
      <c r="M861" s="18"/>
      <c r="N861" s="18"/>
      <c r="O861" s="21"/>
      <c r="P861" s="21"/>
      <c r="Q861" s="21"/>
      <c r="R861" s="21"/>
      <c r="S861" s="21"/>
      <c r="T861" s="21"/>
    </row>
    <row r="862" ht="30" customHeight="1">
      <c r="A862" t="s" s="15">
        <v>3358</v>
      </c>
      <c r="B862" s="16">
        <v>2010</v>
      </c>
      <c r="C862" t="s" s="15">
        <v>3350</v>
      </c>
      <c r="D862" t="s" s="17">
        <v>3359</v>
      </c>
      <c r="E862" t="s" s="17">
        <v>3360</v>
      </c>
      <c r="F862" s="18"/>
      <c r="G862" s="19">
        <v>3</v>
      </c>
      <c r="H862" t="s" s="20">
        <v>46</v>
      </c>
      <c r="I862" t="s" s="17">
        <v>26</v>
      </c>
      <c r="J862" t="s" s="17">
        <v>131</v>
      </c>
      <c r="K862" s="18"/>
      <c r="L862" s="18"/>
      <c r="M862" s="18"/>
      <c r="N862" s="18"/>
      <c r="O862" s="21"/>
      <c r="P862" s="21"/>
      <c r="Q862" s="21"/>
      <c r="R862" s="21"/>
      <c r="S862" s="21"/>
      <c r="T862" s="21"/>
    </row>
    <row r="863" ht="30" customHeight="1">
      <c r="A863" t="s" s="15">
        <v>3361</v>
      </c>
      <c r="B863" s="16">
        <v>2011</v>
      </c>
      <c r="C863" t="s" s="15">
        <v>3350</v>
      </c>
      <c r="D863" t="s" s="17">
        <v>3362</v>
      </c>
      <c r="E863" t="s" s="17">
        <v>3363</v>
      </c>
      <c r="F863" s="18"/>
      <c r="G863" s="19">
        <v>2</v>
      </c>
      <c r="H863" t="s" s="20">
        <v>25</v>
      </c>
      <c r="I863" t="s" s="17">
        <v>26</v>
      </c>
      <c r="J863" t="s" s="17">
        <v>31</v>
      </c>
      <c r="K863" t="s" s="17">
        <v>586</v>
      </c>
      <c r="L863" s="18"/>
      <c r="M863" s="18"/>
      <c r="N863" s="18"/>
      <c r="O863" s="21"/>
      <c r="P863" s="21"/>
      <c r="Q863" s="21"/>
      <c r="R863" s="21"/>
      <c r="S863" s="21"/>
      <c r="T863" s="21"/>
    </row>
    <row r="864" ht="30" customHeight="1">
      <c r="A864" t="s" s="15">
        <v>3364</v>
      </c>
      <c r="B864" s="16">
        <v>2019</v>
      </c>
      <c r="C864" t="s" s="15">
        <v>3365</v>
      </c>
      <c r="D864" t="s" s="17">
        <v>3366</v>
      </c>
      <c r="E864" t="s" s="17">
        <v>3367</v>
      </c>
      <c r="F864" s="18"/>
      <c r="G864" s="19">
        <v>3</v>
      </c>
      <c r="H864" t="s" s="20">
        <v>46</v>
      </c>
      <c r="I864" t="s" s="17">
        <v>42</v>
      </c>
      <c r="J864" t="s" s="17">
        <v>131</v>
      </c>
      <c r="K864" t="s" s="17">
        <v>792</v>
      </c>
      <c r="L864" s="18"/>
      <c r="M864" s="18"/>
      <c r="N864" s="18"/>
      <c r="O864" s="21"/>
      <c r="P864" s="21"/>
      <c r="Q864" s="21"/>
      <c r="R864" s="21"/>
      <c r="S864" s="21"/>
      <c r="T864" s="21"/>
    </row>
    <row r="865" ht="26.55" customHeight="1">
      <c r="A865" t="s" s="15">
        <v>3368</v>
      </c>
      <c r="B865" s="16">
        <v>2015</v>
      </c>
      <c r="C865" t="s" s="15">
        <v>3369</v>
      </c>
      <c r="D865" t="s" s="17">
        <v>3370</v>
      </c>
      <c r="E865" s="18"/>
      <c r="F865" s="18"/>
      <c r="G865" s="19">
        <v>2</v>
      </c>
      <c r="H865" t="s" s="20">
        <v>25</v>
      </c>
      <c r="I865" t="s" s="17">
        <v>26</v>
      </c>
      <c r="J865" t="s" s="17">
        <v>3371</v>
      </c>
      <c r="K865" s="18"/>
      <c r="L865" s="18"/>
      <c r="M865" s="18"/>
      <c r="N865" s="18"/>
      <c r="O865" s="21"/>
      <c r="P865" s="21"/>
      <c r="Q865" s="21"/>
      <c r="R865" s="21"/>
      <c r="S865" s="21"/>
      <c r="T865" s="21"/>
    </row>
    <row r="866" ht="39.55" customHeight="1">
      <c r="A866" t="s" s="15">
        <v>3372</v>
      </c>
      <c r="B866" s="16">
        <v>2017</v>
      </c>
      <c r="C866" t="s" s="15">
        <v>3373</v>
      </c>
      <c r="D866" t="s" s="17">
        <v>3374</v>
      </c>
      <c r="E866" t="s" s="17">
        <v>3375</v>
      </c>
      <c r="F866" s="18"/>
      <c r="G866" s="19">
        <v>2</v>
      </c>
      <c r="H866" t="s" s="20">
        <v>25</v>
      </c>
      <c r="I866" t="s" s="17">
        <v>26</v>
      </c>
      <c r="J866" t="s" s="17">
        <v>61</v>
      </c>
      <c r="K866" s="18"/>
      <c r="L866" s="18"/>
      <c r="M866" s="18"/>
      <c r="N866" s="18"/>
      <c r="O866" s="21"/>
      <c r="P866" s="21"/>
      <c r="Q866" s="21"/>
      <c r="R866" s="21"/>
      <c r="S866" s="21"/>
      <c r="T866" s="21"/>
    </row>
    <row r="867" ht="30" customHeight="1">
      <c r="A867" t="s" s="15">
        <v>3376</v>
      </c>
      <c r="B867" s="16">
        <v>2019</v>
      </c>
      <c r="C867" t="s" s="15">
        <v>3373</v>
      </c>
      <c r="D867" t="s" s="17">
        <v>3377</v>
      </c>
      <c r="E867" t="s" s="17">
        <v>3378</v>
      </c>
      <c r="F867" s="18"/>
      <c r="G867" s="19">
        <v>3</v>
      </c>
      <c r="H867" t="s" s="20">
        <v>46</v>
      </c>
      <c r="I867" t="s" s="17">
        <v>26</v>
      </c>
      <c r="J867" t="s" s="17">
        <v>2351</v>
      </c>
      <c r="K867" t="s" s="17">
        <v>86</v>
      </c>
      <c r="L867" s="18"/>
      <c r="M867" s="18"/>
      <c r="N867" s="18"/>
      <c r="O867" s="21"/>
      <c r="P867" s="21"/>
      <c r="Q867" s="21"/>
      <c r="R867" s="21"/>
      <c r="S867" s="21"/>
      <c r="T867" s="21"/>
    </row>
    <row r="868" ht="26.55" customHeight="1">
      <c r="A868" t="s" s="15">
        <v>3379</v>
      </c>
      <c r="B868" s="16">
        <v>2005</v>
      </c>
      <c r="C868" t="s" s="15">
        <v>3380</v>
      </c>
      <c r="D868" t="s" s="17">
        <v>3381</v>
      </c>
      <c r="E868" s="18"/>
      <c r="F868" s="18"/>
      <c r="G868" s="19">
        <v>2</v>
      </c>
      <c r="H868" t="s" s="20">
        <v>25</v>
      </c>
      <c r="I868" t="s" s="17">
        <v>26</v>
      </c>
      <c r="J868" t="s" s="17">
        <v>85</v>
      </c>
      <c r="K868" s="18"/>
      <c r="L868" s="18"/>
      <c r="M868" s="18"/>
      <c r="N868" s="18"/>
      <c r="O868" s="21"/>
      <c r="P868" s="21"/>
      <c r="Q868" s="21"/>
      <c r="R868" s="21"/>
      <c r="S868" s="21"/>
      <c r="T868" s="21"/>
    </row>
    <row r="869" ht="30" customHeight="1">
      <c r="A869" t="s" s="15">
        <v>3382</v>
      </c>
      <c r="B869" s="16">
        <v>2016</v>
      </c>
      <c r="C869" t="s" s="15">
        <v>3383</v>
      </c>
      <c r="D869" t="s" s="17">
        <v>3384</v>
      </c>
      <c r="E869" t="s" s="17">
        <v>3385</v>
      </c>
      <c r="F869" s="18"/>
      <c r="G869" s="19">
        <v>3</v>
      </c>
      <c r="H869" t="s" s="20">
        <v>46</v>
      </c>
      <c r="I869" t="s" s="17">
        <v>26</v>
      </c>
      <c r="J869" t="s" s="17">
        <v>93</v>
      </c>
      <c r="K869" t="s" s="17">
        <v>792</v>
      </c>
      <c r="L869" s="18"/>
      <c r="M869" s="18"/>
      <c r="N869" s="18"/>
      <c r="O869" s="21"/>
      <c r="P869" s="21"/>
      <c r="Q869" s="21"/>
      <c r="R869" s="21"/>
      <c r="S869" s="21"/>
      <c r="T869" s="21"/>
    </row>
    <row r="870" ht="30" customHeight="1">
      <c r="A870" t="s" s="15">
        <v>3386</v>
      </c>
      <c r="B870" s="16">
        <v>2022</v>
      </c>
      <c r="C870" t="s" s="15">
        <v>3387</v>
      </c>
      <c r="D870" t="s" s="17">
        <v>3388</v>
      </c>
      <c r="E870" t="s" s="17">
        <v>3389</v>
      </c>
      <c r="F870" s="18"/>
      <c r="G870" s="19">
        <v>2</v>
      </c>
      <c r="H870" t="s" s="20">
        <v>25</v>
      </c>
      <c r="I870" t="s" s="17">
        <v>26</v>
      </c>
      <c r="J870" t="s" s="17">
        <v>61</v>
      </c>
      <c r="K870" s="18"/>
      <c r="L870" s="18"/>
      <c r="M870" s="18"/>
      <c r="N870" s="18"/>
      <c r="O870" s="21"/>
      <c r="P870" s="21"/>
      <c r="Q870" s="21"/>
      <c r="R870" s="21"/>
      <c r="S870" s="21"/>
      <c r="T870" s="21"/>
    </row>
    <row r="871" ht="30" customHeight="1">
      <c r="A871" t="s" s="15">
        <v>3390</v>
      </c>
      <c r="B871" s="16">
        <v>2022</v>
      </c>
      <c r="C871" t="s" s="15">
        <v>3391</v>
      </c>
      <c r="D871" t="s" s="17">
        <v>3392</v>
      </c>
      <c r="E871" t="s" s="17">
        <v>3393</v>
      </c>
      <c r="F871" s="18"/>
      <c r="G871" s="19">
        <v>2</v>
      </c>
      <c r="H871" t="s" s="20">
        <v>25</v>
      </c>
      <c r="I871" t="s" s="17">
        <v>26</v>
      </c>
      <c r="J871" t="s" s="17">
        <v>119</v>
      </c>
      <c r="K871" s="18"/>
      <c r="L871" s="18"/>
      <c r="M871" s="18"/>
      <c r="N871" s="18"/>
      <c r="O871" s="21"/>
      <c r="P871" s="21"/>
      <c r="Q871" s="21"/>
      <c r="R871" s="21"/>
      <c r="S871" s="21"/>
      <c r="T871" s="21"/>
    </row>
    <row r="872" ht="30" customHeight="1">
      <c r="A872" t="s" s="15">
        <v>3394</v>
      </c>
      <c r="B872" s="16">
        <v>2016</v>
      </c>
      <c r="C872" t="s" s="15">
        <v>3395</v>
      </c>
      <c r="D872" t="s" s="17">
        <v>3396</v>
      </c>
      <c r="E872" t="s" s="17">
        <v>3397</v>
      </c>
      <c r="F872" s="18"/>
      <c r="G872" s="19">
        <v>2</v>
      </c>
      <c r="H872" t="s" s="20">
        <v>25</v>
      </c>
      <c r="I872" t="s" s="17">
        <v>26</v>
      </c>
      <c r="J872" t="s" s="17">
        <v>102</v>
      </c>
      <c r="K872" s="18"/>
      <c r="L872" s="18"/>
      <c r="M872" s="18"/>
      <c r="N872" s="18"/>
      <c r="O872" s="21"/>
      <c r="P872" s="21"/>
      <c r="Q872" s="21"/>
      <c r="R872" s="21"/>
      <c r="S872" s="21"/>
      <c r="T872" s="21"/>
    </row>
    <row r="873" ht="30" customHeight="1">
      <c r="A873" t="s" s="15">
        <v>3398</v>
      </c>
      <c r="B873" s="16">
        <v>2020</v>
      </c>
      <c r="C873" t="s" s="15">
        <v>3399</v>
      </c>
      <c r="D873" t="s" s="17">
        <v>3400</v>
      </c>
      <c r="E873" t="s" s="17">
        <v>3401</v>
      </c>
      <c r="F873" s="18"/>
      <c r="G873" s="19">
        <v>2</v>
      </c>
      <c r="H873" t="s" s="20">
        <v>25</v>
      </c>
      <c r="I873" t="s" s="17">
        <v>26</v>
      </c>
      <c r="J873" t="s" s="17">
        <v>119</v>
      </c>
      <c r="K873" s="18"/>
      <c r="L873" s="18"/>
      <c r="M873" s="18"/>
      <c r="N873" s="18"/>
      <c r="O873" s="21"/>
      <c r="P873" s="21"/>
      <c r="Q873" s="21"/>
      <c r="R873" s="21"/>
      <c r="S873" s="21"/>
      <c r="T873" s="21"/>
    </row>
    <row r="874" ht="30" customHeight="1">
      <c r="A874" t="s" s="15">
        <v>3402</v>
      </c>
      <c r="B874" s="16">
        <v>2011</v>
      </c>
      <c r="C874" t="s" s="15">
        <v>3403</v>
      </c>
      <c r="D874" t="s" s="17">
        <v>3404</v>
      </c>
      <c r="E874" s="18"/>
      <c r="F874" s="18"/>
      <c r="G874" s="19">
        <v>3</v>
      </c>
      <c r="H874" t="s" s="20">
        <v>46</v>
      </c>
      <c r="I874" t="s" s="17">
        <v>26</v>
      </c>
      <c r="J874" t="s" s="17">
        <v>93</v>
      </c>
      <c r="K874" s="18"/>
      <c r="L874" s="18"/>
      <c r="M874" s="18"/>
      <c r="N874" s="18"/>
      <c r="O874" s="21"/>
      <c r="P874" s="21"/>
      <c r="Q874" s="21"/>
      <c r="R874" s="21"/>
      <c r="S874" s="21"/>
      <c r="T874" s="21"/>
    </row>
    <row r="875" ht="45" customHeight="1">
      <c r="A875" t="s" s="15">
        <v>3405</v>
      </c>
      <c r="B875" s="16">
        <v>2013</v>
      </c>
      <c r="C875" t="s" s="15">
        <v>3403</v>
      </c>
      <c r="D875" t="s" s="17">
        <v>3406</v>
      </c>
      <c r="E875" t="s" s="17">
        <v>3407</v>
      </c>
      <c r="F875" s="18"/>
      <c r="G875" s="19">
        <v>3</v>
      </c>
      <c r="H875" t="s" s="20">
        <v>46</v>
      </c>
      <c r="I875" t="s" s="17">
        <v>42</v>
      </c>
      <c r="J875" t="s" s="17">
        <v>93</v>
      </c>
      <c r="K875" t="s" s="17">
        <v>892</v>
      </c>
      <c r="L875" t="s" s="17">
        <v>42</v>
      </c>
      <c r="M875" t="s" s="17">
        <v>212</v>
      </c>
      <c r="N875" s="18"/>
      <c r="O875" s="21"/>
      <c r="P875" t="s" s="20">
        <v>25</v>
      </c>
      <c r="Q875" s="21"/>
      <c r="R875" s="21"/>
      <c r="S875" s="21"/>
      <c r="T875" s="21"/>
    </row>
    <row r="876" ht="30" customHeight="1">
      <c r="A876" t="s" s="15">
        <v>3408</v>
      </c>
      <c r="B876" s="16">
        <v>2013</v>
      </c>
      <c r="C876" t="s" s="15">
        <v>3403</v>
      </c>
      <c r="D876" t="s" s="17">
        <v>3406</v>
      </c>
      <c r="E876" t="s" s="17">
        <v>3409</v>
      </c>
      <c r="F876" s="18"/>
      <c r="G876" s="19">
        <v>3</v>
      </c>
      <c r="H876" t="s" s="20">
        <v>46</v>
      </c>
      <c r="I876" t="s" s="17">
        <v>26</v>
      </c>
      <c r="J876" t="s" s="17">
        <v>85</v>
      </c>
      <c r="K876" s="18"/>
      <c r="L876" s="18"/>
      <c r="M876" s="18"/>
      <c r="N876" s="18"/>
      <c r="O876" s="21"/>
      <c r="P876" s="21"/>
      <c r="Q876" s="21"/>
      <c r="R876" s="21"/>
      <c r="S876" s="21"/>
      <c r="T876" s="21"/>
    </row>
    <row r="877" ht="30" customHeight="1">
      <c r="A877" t="s" s="15">
        <v>3410</v>
      </c>
      <c r="B877" s="16">
        <v>2017</v>
      </c>
      <c r="C877" t="s" s="15">
        <v>3411</v>
      </c>
      <c r="D877" t="s" s="17">
        <v>3412</v>
      </c>
      <c r="E877" t="s" s="17">
        <v>3413</v>
      </c>
      <c r="F877" s="18"/>
      <c r="G877" s="19">
        <v>3</v>
      </c>
      <c r="H877" t="s" s="20">
        <v>46</v>
      </c>
      <c r="I877" t="s" s="17">
        <v>42</v>
      </c>
      <c r="J877" s="18"/>
      <c r="K877" t="s" s="17">
        <v>3414</v>
      </c>
      <c r="L877" t="s" s="17">
        <v>42</v>
      </c>
      <c r="M877" t="s" s="17">
        <v>44</v>
      </c>
      <c r="N877" s="18"/>
      <c r="O877" s="21"/>
      <c r="P877" t="s" s="20">
        <v>25</v>
      </c>
      <c r="Q877" s="21"/>
      <c r="R877" s="21"/>
      <c r="S877" s="21"/>
      <c r="T877" s="21"/>
    </row>
    <row r="878" ht="39.55" customHeight="1">
      <c r="A878" t="s" s="15">
        <v>3415</v>
      </c>
      <c r="B878" s="16">
        <v>2015</v>
      </c>
      <c r="C878" t="s" s="15">
        <v>3416</v>
      </c>
      <c r="D878" t="s" s="17">
        <v>3417</v>
      </c>
      <c r="E878" t="s" s="17">
        <v>3418</v>
      </c>
      <c r="F878" s="18"/>
      <c r="G878" s="19">
        <v>2</v>
      </c>
      <c r="H878" t="s" s="20">
        <v>25</v>
      </c>
      <c r="I878" t="s" s="17">
        <v>26</v>
      </c>
      <c r="J878" t="s" s="17">
        <v>66</v>
      </c>
      <c r="K878" s="18"/>
      <c r="L878" s="18"/>
      <c r="M878" s="18"/>
      <c r="N878" s="18"/>
      <c r="O878" s="21"/>
      <c r="P878" s="21"/>
      <c r="Q878" s="21"/>
      <c r="R878" s="21"/>
      <c r="S878" s="21"/>
      <c r="T878" s="21"/>
    </row>
    <row r="879" ht="30" customHeight="1">
      <c r="A879" t="s" s="15">
        <v>3419</v>
      </c>
      <c r="B879" s="16">
        <v>2013</v>
      </c>
      <c r="C879" t="s" s="15">
        <v>3420</v>
      </c>
      <c r="D879" t="s" s="17">
        <v>3421</v>
      </c>
      <c r="E879" t="s" s="17">
        <v>3422</v>
      </c>
      <c r="F879" s="18"/>
      <c r="G879" s="19">
        <v>2</v>
      </c>
      <c r="H879" t="s" s="20">
        <v>25</v>
      </c>
      <c r="I879" t="s" s="17">
        <v>26</v>
      </c>
      <c r="J879" t="s" s="17">
        <v>630</v>
      </c>
      <c r="K879" s="18"/>
      <c r="L879" s="18"/>
      <c r="M879" s="18"/>
      <c r="N879" s="18"/>
      <c r="O879" s="21"/>
      <c r="P879" s="21"/>
      <c r="Q879" s="21"/>
      <c r="R879" s="21"/>
      <c r="S879" s="21"/>
      <c r="T879" s="21"/>
    </row>
    <row r="880" ht="30" customHeight="1">
      <c r="A880" t="s" s="15">
        <v>3423</v>
      </c>
      <c r="B880" s="16">
        <v>2017</v>
      </c>
      <c r="C880" t="s" s="15">
        <v>3420</v>
      </c>
      <c r="D880" t="s" s="17">
        <v>3424</v>
      </c>
      <c r="E880" t="s" s="17">
        <v>3425</v>
      </c>
      <c r="F880" s="18"/>
      <c r="G880" s="19">
        <v>2</v>
      </c>
      <c r="H880" t="s" s="20">
        <v>25</v>
      </c>
      <c r="I880" t="s" s="17">
        <v>26</v>
      </c>
      <c r="J880" t="s" s="17">
        <v>630</v>
      </c>
      <c r="K880" s="18"/>
      <c r="L880" s="18"/>
      <c r="M880" s="18"/>
      <c r="N880" s="18"/>
      <c r="O880" s="21"/>
      <c r="P880" s="21"/>
      <c r="Q880" s="21"/>
      <c r="R880" s="21"/>
      <c r="S880" s="21"/>
      <c r="T880" s="21"/>
    </row>
    <row r="881" ht="30" customHeight="1">
      <c r="A881" t="s" s="15">
        <v>3426</v>
      </c>
      <c r="B881" s="16">
        <v>2018</v>
      </c>
      <c r="C881" t="s" s="15">
        <v>3427</v>
      </c>
      <c r="D881" t="s" s="17">
        <v>3428</v>
      </c>
      <c r="E881" t="s" s="17">
        <v>3429</v>
      </c>
      <c r="F881" s="18"/>
      <c r="G881" s="19">
        <v>3</v>
      </c>
      <c r="H881" t="s" s="20">
        <v>46</v>
      </c>
      <c r="I881" t="s" s="17">
        <v>26</v>
      </c>
      <c r="J881" t="s" s="17">
        <v>85</v>
      </c>
      <c r="K881" t="s" s="17">
        <v>586</v>
      </c>
      <c r="L881" s="18"/>
      <c r="M881" s="18"/>
      <c r="N881" s="18"/>
      <c r="O881" s="21"/>
      <c r="P881" s="21"/>
      <c r="Q881" s="21"/>
      <c r="R881" s="21"/>
      <c r="S881" s="21"/>
      <c r="T881" s="21"/>
    </row>
    <row r="882" ht="30" customHeight="1">
      <c r="A882" t="s" s="15">
        <v>3430</v>
      </c>
      <c r="B882" s="16">
        <v>2021</v>
      </c>
      <c r="C882" t="s" s="15">
        <v>3431</v>
      </c>
      <c r="D882" t="s" s="17">
        <v>3432</v>
      </c>
      <c r="E882" t="s" s="17">
        <v>3433</v>
      </c>
      <c r="F882" s="18"/>
      <c r="G882" s="19">
        <v>3</v>
      </c>
      <c r="H882" t="s" s="20">
        <v>46</v>
      </c>
      <c r="I882" t="s" s="17">
        <v>26</v>
      </c>
      <c r="J882" t="s" s="17">
        <v>85</v>
      </c>
      <c r="K882" s="18"/>
      <c r="L882" s="18"/>
      <c r="M882" s="18"/>
      <c r="N882" s="18"/>
      <c r="O882" s="21"/>
      <c r="P882" s="21"/>
      <c r="Q882" s="21"/>
      <c r="R882" s="21"/>
      <c r="S882" s="21"/>
      <c r="T882" s="21"/>
    </row>
    <row r="883" ht="30" customHeight="1">
      <c r="A883" t="s" s="15">
        <v>3434</v>
      </c>
      <c r="B883" s="16">
        <v>2016</v>
      </c>
      <c r="C883" t="s" s="15">
        <v>3435</v>
      </c>
      <c r="D883" t="s" s="17">
        <v>3436</v>
      </c>
      <c r="E883" t="s" s="17">
        <v>3437</v>
      </c>
      <c r="F883" s="18"/>
      <c r="G883" s="19">
        <v>2</v>
      </c>
      <c r="H883" t="s" s="20">
        <v>25</v>
      </c>
      <c r="I883" t="s" s="17">
        <v>26</v>
      </c>
      <c r="J883" t="s" s="17">
        <v>93</v>
      </c>
      <c r="K883" s="18"/>
      <c r="L883" s="18"/>
      <c r="M883" s="18"/>
      <c r="N883" s="18"/>
      <c r="O883" s="21"/>
      <c r="P883" s="21"/>
      <c r="Q883" s="21"/>
      <c r="R883" s="21"/>
      <c r="S883" s="21"/>
      <c r="T883" s="21"/>
    </row>
    <row r="884" ht="30" customHeight="1">
      <c r="A884" t="s" s="15">
        <v>3438</v>
      </c>
      <c r="B884" s="16">
        <v>2018</v>
      </c>
      <c r="C884" t="s" s="15">
        <v>3435</v>
      </c>
      <c r="D884" t="s" s="17">
        <v>3439</v>
      </c>
      <c r="E884" t="s" s="17">
        <v>3440</v>
      </c>
      <c r="F884" s="18"/>
      <c r="G884" s="19">
        <v>3</v>
      </c>
      <c r="H884" t="s" s="20">
        <v>46</v>
      </c>
      <c r="I884" t="s" s="17">
        <v>26</v>
      </c>
      <c r="J884" t="s" s="17">
        <v>93</v>
      </c>
      <c r="K884" t="s" s="17">
        <v>792</v>
      </c>
      <c r="L884" s="18"/>
      <c r="M884" s="18"/>
      <c r="N884" s="18"/>
      <c r="O884" s="21"/>
      <c r="P884" s="21"/>
      <c r="Q884" s="21"/>
      <c r="R884" s="21"/>
      <c r="S884" s="21"/>
      <c r="T884" s="21"/>
    </row>
    <row r="885" ht="30" customHeight="1">
      <c r="A885" t="s" s="15">
        <v>3441</v>
      </c>
      <c r="B885" s="16">
        <v>2022</v>
      </c>
      <c r="C885" t="s" s="15">
        <v>3442</v>
      </c>
      <c r="D885" t="s" s="17">
        <v>3443</v>
      </c>
      <c r="E885" t="s" s="17">
        <v>3444</v>
      </c>
      <c r="F885" s="18"/>
      <c r="G885" s="19">
        <v>2</v>
      </c>
      <c r="H885" t="s" s="20">
        <v>25</v>
      </c>
      <c r="I885" t="s" s="17">
        <v>26</v>
      </c>
      <c r="J885" t="s" s="17">
        <v>119</v>
      </c>
      <c r="K885" s="18"/>
      <c r="L885" s="18"/>
      <c r="M885" s="18"/>
      <c r="N885" s="18"/>
      <c r="O885" s="21"/>
      <c r="P885" s="21"/>
      <c r="Q885" s="21"/>
      <c r="R885" s="21"/>
      <c r="S885" s="21"/>
      <c r="T885" s="21"/>
    </row>
    <row r="886" ht="30" customHeight="1">
      <c r="A886" t="s" s="15">
        <v>3445</v>
      </c>
      <c r="B886" s="16">
        <v>2020</v>
      </c>
      <c r="C886" t="s" s="15">
        <v>3446</v>
      </c>
      <c r="D886" t="s" s="17">
        <v>3447</v>
      </c>
      <c r="E886" t="s" s="17">
        <v>3448</v>
      </c>
      <c r="F886" s="18"/>
      <c r="G886" s="19">
        <v>2</v>
      </c>
      <c r="H886" t="s" s="20">
        <v>25</v>
      </c>
      <c r="I886" t="s" s="17">
        <v>26</v>
      </c>
      <c r="J886" t="s" s="17">
        <v>2402</v>
      </c>
      <c r="K886" s="18"/>
      <c r="L886" s="18"/>
      <c r="M886" s="18"/>
      <c r="N886" s="18"/>
      <c r="O886" s="21"/>
      <c r="P886" s="21"/>
      <c r="Q886" s="21"/>
      <c r="R886" s="21"/>
      <c r="S886" s="21"/>
      <c r="T886" s="21"/>
    </row>
    <row r="887" ht="30" customHeight="1">
      <c r="A887" t="s" s="15">
        <v>3449</v>
      </c>
      <c r="B887" s="16">
        <v>2015</v>
      </c>
      <c r="C887" t="s" s="15">
        <v>3450</v>
      </c>
      <c r="D887" t="s" s="17">
        <v>3451</v>
      </c>
      <c r="E887" t="s" s="17">
        <v>3452</v>
      </c>
      <c r="F887" s="18"/>
      <c r="G887" s="19">
        <v>2</v>
      </c>
      <c r="H887" t="s" s="20">
        <v>25</v>
      </c>
      <c r="I887" t="s" s="17">
        <v>26</v>
      </c>
      <c r="J887" t="s" s="17">
        <v>102</v>
      </c>
      <c r="K887" s="18"/>
      <c r="L887" s="18"/>
      <c r="M887" s="18"/>
      <c r="N887" s="18"/>
      <c r="O887" s="21"/>
      <c r="P887" s="21"/>
      <c r="Q887" s="21"/>
      <c r="R887" s="21"/>
      <c r="S887" s="21"/>
      <c r="T887" s="21"/>
    </row>
    <row r="888" ht="45" customHeight="1">
      <c r="A888" t="s" s="15">
        <v>3453</v>
      </c>
      <c r="B888" s="16">
        <v>2021</v>
      </c>
      <c r="C888" t="s" s="15">
        <v>3454</v>
      </c>
      <c r="D888" t="s" s="17">
        <v>3455</v>
      </c>
      <c r="E888" t="s" s="17">
        <v>3456</v>
      </c>
      <c r="F888" s="18"/>
      <c r="G888" s="19">
        <v>3</v>
      </c>
      <c r="H888" t="s" s="20">
        <v>46</v>
      </c>
      <c r="I888" t="s" s="17">
        <v>26</v>
      </c>
      <c r="J888" t="s" s="17">
        <v>93</v>
      </c>
      <c r="K888" s="18"/>
      <c r="L888" s="18"/>
      <c r="M888" s="18"/>
      <c r="N888" s="18"/>
      <c r="O888" s="21"/>
      <c r="P888" s="21"/>
      <c r="Q888" s="21"/>
      <c r="R888" s="21"/>
      <c r="S888" s="21"/>
      <c r="T888" s="21"/>
    </row>
    <row r="889" ht="30" customHeight="1">
      <c r="A889" t="s" s="15">
        <v>3457</v>
      </c>
      <c r="B889" s="16">
        <v>2007</v>
      </c>
      <c r="C889" t="s" s="15">
        <v>3458</v>
      </c>
      <c r="D889" t="s" s="17">
        <v>3459</v>
      </c>
      <c r="E889" s="18"/>
      <c r="F889" s="18"/>
      <c r="G889" s="19">
        <v>2</v>
      </c>
      <c r="H889" t="s" s="20">
        <v>25</v>
      </c>
      <c r="I889" t="s" s="17">
        <v>26</v>
      </c>
      <c r="J889" t="s" s="17">
        <v>3460</v>
      </c>
      <c r="K889" s="18"/>
      <c r="L889" s="18"/>
      <c r="M889" s="18"/>
      <c r="N889" s="18"/>
      <c r="O889" s="21"/>
      <c r="P889" s="21"/>
      <c r="Q889" s="21"/>
      <c r="R889" s="21"/>
      <c r="S889" s="21"/>
      <c r="T889" s="21"/>
    </row>
    <row r="890" ht="30" customHeight="1">
      <c r="A890" t="s" s="15">
        <v>3461</v>
      </c>
      <c r="B890" s="16">
        <v>2010</v>
      </c>
      <c r="C890" t="s" s="15">
        <v>3462</v>
      </c>
      <c r="D890" t="s" s="17">
        <v>3463</v>
      </c>
      <c r="E890" t="s" s="17">
        <v>3464</v>
      </c>
      <c r="F890" s="18"/>
      <c r="G890" s="19">
        <v>2</v>
      </c>
      <c r="H890" t="s" s="20">
        <v>25</v>
      </c>
      <c r="I890" t="s" s="17">
        <v>26</v>
      </c>
      <c r="J890" t="s" s="17">
        <v>27</v>
      </c>
      <c r="K890" s="18"/>
      <c r="L890" s="18"/>
      <c r="M890" s="18"/>
      <c r="N890" s="18"/>
      <c r="O890" s="21"/>
      <c r="P890" s="21"/>
      <c r="Q890" s="21"/>
      <c r="R890" s="21"/>
      <c r="S890" s="21"/>
      <c r="T890" s="21"/>
    </row>
    <row r="891" ht="39.55" customHeight="1">
      <c r="A891" t="s" s="15">
        <v>3465</v>
      </c>
      <c r="B891" s="16">
        <v>2014</v>
      </c>
      <c r="C891" t="s" s="15">
        <v>3466</v>
      </c>
      <c r="D891" t="s" s="17">
        <v>3467</v>
      </c>
      <c r="E891" t="s" s="17">
        <v>3468</v>
      </c>
      <c r="F891" s="18"/>
      <c r="G891" s="19">
        <v>2</v>
      </c>
      <c r="H891" t="s" s="20">
        <v>25</v>
      </c>
      <c r="I891" t="s" s="17">
        <v>26</v>
      </c>
      <c r="J891" t="s" s="17">
        <v>61</v>
      </c>
      <c r="K891" s="18"/>
      <c r="L891" s="18"/>
      <c r="M891" s="18"/>
      <c r="N891" s="18"/>
      <c r="O891" s="21"/>
      <c r="P891" s="21"/>
      <c r="Q891" s="21"/>
      <c r="R891" s="21"/>
      <c r="S891" s="21"/>
      <c r="T891" s="21"/>
    </row>
    <row r="892" ht="30" customHeight="1">
      <c r="A892" t="s" s="15">
        <v>3469</v>
      </c>
      <c r="B892" s="16">
        <v>2021</v>
      </c>
      <c r="C892" t="s" s="15">
        <v>3470</v>
      </c>
      <c r="D892" t="s" s="17">
        <v>3471</v>
      </c>
      <c r="E892" t="s" s="17">
        <v>3472</v>
      </c>
      <c r="F892" s="18"/>
      <c r="G892" s="19">
        <v>2</v>
      </c>
      <c r="H892" t="s" s="20">
        <v>25</v>
      </c>
      <c r="I892" t="s" s="17">
        <v>26</v>
      </c>
      <c r="J892" t="s" s="17">
        <v>3473</v>
      </c>
      <c r="K892" s="18"/>
      <c r="L892" s="18"/>
      <c r="M892" s="18"/>
      <c r="N892" s="18"/>
      <c r="O892" s="21"/>
      <c r="P892" s="21"/>
      <c r="Q892" s="21"/>
      <c r="R892" s="21"/>
      <c r="S892" s="21"/>
      <c r="T892" s="21"/>
    </row>
    <row r="893" ht="26.55" customHeight="1">
      <c r="A893" t="s" s="15">
        <v>3474</v>
      </c>
      <c r="B893" s="16">
        <v>2016</v>
      </c>
      <c r="C893" t="s" s="15">
        <v>3475</v>
      </c>
      <c r="D893" t="s" s="17">
        <v>3476</v>
      </c>
      <c r="E893" t="s" s="17">
        <v>3477</v>
      </c>
      <c r="F893" s="18"/>
      <c r="G893" s="19">
        <v>3</v>
      </c>
      <c r="H893" t="s" s="20">
        <v>46</v>
      </c>
      <c r="I893" t="s" s="17">
        <v>26</v>
      </c>
      <c r="J893" t="s" s="17">
        <v>31</v>
      </c>
      <c r="K893" t="s" s="17">
        <v>86</v>
      </c>
      <c r="L893" s="18"/>
      <c r="M893" s="18"/>
      <c r="N893" s="18"/>
      <c r="O893" s="21"/>
      <c r="P893" s="21"/>
      <c r="Q893" s="21"/>
      <c r="R893" s="21"/>
      <c r="S893" s="21"/>
      <c r="T893" s="21"/>
    </row>
    <row r="894" ht="26.55" customHeight="1">
      <c r="A894" t="s" s="15">
        <v>3478</v>
      </c>
      <c r="B894" s="16">
        <v>2014</v>
      </c>
      <c r="C894" t="s" s="15">
        <v>3479</v>
      </c>
      <c r="D894" t="s" s="17">
        <v>3480</v>
      </c>
      <c r="E894" t="s" s="17">
        <v>3481</v>
      </c>
      <c r="F894" s="18"/>
      <c r="G894" s="19">
        <v>2</v>
      </c>
      <c r="H894" t="s" s="20">
        <v>25</v>
      </c>
      <c r="I894" t="s" s="17">
        <v>26</v>
      </c>
      <c r="J894" t="s" s="17">
        <v>85</v>
      </c>
      <c r="K894" s="18"/>
      <c r="L894" s="18"/>
      <c r="M894" s="18"/>
      <c r="N894" s="18"/>
      <c r="O894" s="21"/>
      <c r="P894" s="21"/>
      <c r="Q894" s="21"/>
      <c r="R894" s="21"/>
      <c r="S894" s="21"/>
      <c r="T894" s="21"/>
    </row>
    <row r="895" ht="26.55" customHeight="1">
      <c r="A895" t="s" s="15">
        <v>3482</v>
      </c>
      <c r="B895" s="16">
        <v>2016</v>
      </c>
      <c r="C895" t="s" s="15">
        <v>3479</v>
      </c>
      <c r="D895" t="s" s="17">
        <v>3483</v>
      </c>
      <c r="E895" t="s" s="17">
        <v>3484</v>
      </c>
      <c r="F895" s="18"/>
      <c r="G895" s="19">
        <v>3</v>
      </c>
      <c r="H895" t="s" s="20">
        <v>46</v>
      </c>
      <c r="I895" t="s" s="17">
        <v>26</v>
      </c>
      <c r="J895" t="s" s="17">
        <v>2351</v>
      </c>
      <c r="K895" t="s" s="17">
        <v>3485</v>
      </c>
      <c r="L895" s="18"/>
      <c r="M895" s="18"/>
      <c r="N895" s="18"/>
      <c r="O895" s="21"/>
      <c r="P895" s="21"/>
      <c r="Q895" s="21"/>
      <c r="R895" s="21"/>
      <c r="S895" s="21"/>
      <c r="T895" s="21"/>
    </row>
    <row r="896" ht="30" customHeight="1">
      <c r="A896" t="s" s="15">
        <v>3486</v>
      </c>
      <c r="B896" s="16">
        <v>2017</v>
      </c>
      <c r="C896" t="s" s="15">
        <v>3487</v>
      </c>
      <c r="D896" t="s" s="17">
        <v>3488</v>
      </c>
      <c r="E896" t="s" s="17">
        <v>3489</v>
      </c>
      <c r="F896" s="18"/>
      <c r="G896" s="19">
        <v>2</v>
      </c>
      <c r="H896" t="s" s="20">
        <v>25</v>
      </c>
      <c r="I896" t="s" s="17">
        <v>26</v>
      </c>
      <c r="J896" t="s" s="17">
        <v>102</v>
      </c>
      <c r="K896" s="18"/>
      <c r="L896" s="18"/>
      <c r="M896" s="18"/>
      <c r="N896" s="18"/>
      <c r="O896" s="21"/>
      <c r="P896" s="21"/>
      <c r="Q896" s="21"/>
      <c r="R896" s="21"/>
      <c r="S896" s="21"/>
      <c r="T896" s="21"/>
    </row>
    <row r="897" ht="45" customHeight="1">
      <c r="A897" t="s" s="15">
        <v>3490</v>
      </c>
      <c r="B897" s="16">
        <v>2018</v>
      </c>
      <c r="C897" t="s" s="15">
        <v>3491</v>
      </c>
      <c r="D897" t="s" s="17">
        <v>3492</v>
      </c>
      <c r="E897" t="s" s="17">
        <v>3493</v>
      </c>
      <c r="F897" s="18"/>
      <c r="G897" s="19">
        <v>2</v>
      </c>
      <c r="H897" t="s" s="20">
        <v>25</v>
      </c>
      <c r="I897" t="s" s="17">
        <v>26</v>
      </c>
      <c r="J897" t="s" s="17">
        <v>93</v>
      </c>
      <c r="K897" s="18"/>
      <c r="L897" s="18"/>
      <c r="M897" s="18"/>
      <c r="N897" s="18"/>
      <c r="O897" s="21"/>
      <c r="P897" s="21"/>
      <c r="Q897" s="21"/>
      <c r="R897" s="21"/>
      <c r="S897" s="21"/>
      <c r="T897" s="21"/>
    </row>
    <row r="898" ht="30" customHeight="1">
      <c r="A898" t="s" s="15">
        <v>3494</v>
      </c>
      <c r="B898" s="16">
        <v>2021</v>
      </c>
      <c r="C898" t="s" s="15">
        <v>3495</v>
      </c>
      <c r="D898" t="s" s="17">
        <v>3496</v>
      </c>
      <c r="E898" t="s" s="17">
        <v>3497</v>
      </c>
      <c r="F898" s="18"/>
      <c r="G898" s="19">
        <v>3</v>
      </c>
      <c r="H898" t="s" s="20">
        <v>46</v>
      </c>
      <c r="I898" t="s" s="17">
        <v>42</v>
      </c>
      <c r="J898" s="18"/>
      <c r="K898" t="s" s="17">
        <v>293</v>
      </c>
      <c r="L898" t="s" s="17">
        <v>42</v>
      </c>
      <c r="M898" t="s" s="17">
        <v>44</v>
      </c>
      <c r="N898" s="18"/>
      <c r="O898" s="21"/>
      <c r="P898" t="s" s="20">
        <v>25</v>
      </c>
      <c r="Q898" s="21"/>
      <c r="R898" s="21"/>
      <c r="S898" s="21"/>
      <c r="T898" s="21"/>
    </row>
    <row r="899" ht="30" customHeight="1">
      <c r="A899" t="s" s="15">
        <v>3498</v>
      </c>
      <c r="B899" s="16">
        <v>2009</v>
      </c>
      <c r="C899" t="s" s="15">
        <v>3499</v>
      </c>
      <c r="D899" t="s" s="17">
        <v>3500</v>
      </c>
      <c r="E899" t="s" s="17">
        <v>3501</v>
      </c>
      <c r="F899" s="18"/>
      <c r="G899" s="19">
        <v>2</v>
      </c>
      <c r="H899" t="s" s="20">
        <v>25</v>
      </c>
      <c r="I899" t="s" s="17">
        <v>26</v>
      </c>
      <c r="J899" t="s" s="17">
        <v>660</v>
      </c>
      <c r="K899" t="s" s="17">
        <v>661</v>
      </c>
      <c r="L899" t="s" s="17">
        <v>26</v>
      </c>
      <c r="M899" s="18"/>
      <c r="N899" t="s" s="17">
        <v>662</v>
      </c>
      <c r="O899" t="s" s="20">
        <v>3502</v>
      </c>
      <c r="P899" s="21"/>
      <c r="Q899" s="21"/>
      <c r="R899" s="21"/>
      <c r="S899" s="21"/>
      <c r="T899" s="21"/>
    </row>
    <row r="900" ht="30" customHeight="1">
      <c r="A900" t="s" s="15">
        <v>3503</v>
      </c>
      <c r="B900" s="16">
        <v>2010</v>
      </c>
      <c r="C900" t="s" s="15">
        <v>3499</v>
      </c>
      <c r="D900" t="s" s="17">
        <v>3504</v>
      </c>
      <c r="E900" t="s" s="17">
        <v>3505</v>
      </c>
      <c r="F900" s="18"/>
      <c r="G900" s="19">
        <v>3</v>
      </c>
      <c r="H900" t="s" s="20">
        <v>46</v>
      </c>
      <c r="I900" t="s" s="17">
        <v>26</v>
      </c>
      <c r="J900" t="s" s="17">
        <v>85</v>
      </c>
      <c r="K900" t="s" s="17">
        <v>467</v>
      </c>
      <c r="L900" s="18"/>
      <c r="M900" s="18"/>
      <c r="N900" s="18"/>
      <c r="O900" s="21"/>
      <c r="P900" s="21"/>
      <c r="Q900" s="21"/>
      <c r="R900" s="21"/>
      <c r="S900" s="21"/>
      <c r="T900" s="21"/>
    </row>
    <row r="901" ht="30" customHeight="1">
      <c r="A901" t="s" s="15">
        <v>3506</v>
      </c>
      <c r="B901" s="16">
        <v>2012</v>
      </c>
      <c r="C901" t="s" s="15">
        <v>3499</v>
      </c>
      <c r="D901" t="s" s="17">
        <v>3507</v>
      </c>
      <c r="E901" t="s" s="17">
        <v>3508</v>
      </c>
      <c r="F901" s="18"/>
      <c r="G901" s="19">
        <v>3</v>
      </c>
      <c r="H901" t="s" s="20">
        <v>46</v>
      </c>
      <c r="I901" t="s" s="17">
        <v>42</v>
      </c>
      <c r="J901" s="18"/>
      <c r="K901" t="s" s="17">
        <v>293</v>
      </c>
      <c r="L901" t="s" s="17">
        <v>42</v>
      </c>
      <c r="M901" t="s" s="17">
        <v>44</v>
      </c>
      <c r="N901" s="18"/>
      <c r="O901" s="21"/>
      <c r="P901" t="s" s="20">
        <v>25</v>
      </c>
      <c r="Q901" s="21"/>
      <c r="R901" s="21"/>
      <c r="S901" s="21"/>
      <c r="T901" s="21"/>
    </row>
    <row r="902" ht="26.55" customHeight="1">
      <c r="A902" t="s" s="15">
        <v>3509</v>
      </c>
      <c r="B902" s="16">
        <v>2013</v>
      </c>
      <c r="C902" t="s" s="15">
        <v>3499</v>
      </c>
      <c r="D902" t="s" s="17">
        <v>3510</v>
      </c>
      <c r="E902" s="18"/>
      <c r="F902" s="18"/>
      <c r="G902" s="19">
        <v>3</v>
      </c>
      <c r="H902" t="s" s="20">
        <v>46</v>
      </c>
      <c r="I902" t="s" s="17">
        <v>26</v>
      </c>
      <c r="J902" t="s" s="17">
        <v>85</v>
      </c>
      <c r="K902" t="s" s="17">
        <v>586</v>
      </c>
      <c r="L902" s="18"/>
      <c r="M902" s="18"/>
      <c r="N902" s="18"/>
      <c r="O902" s="21"/>
      <c r="P902" s="21"/>
      <c r="Q902" s="21"/>
      <c r="R902" s="21"/>
      <c r="S902" s="21"/>
      <c r="T902" s="21"/>
    </row>
    <row r="903" ht="30" customHeight="1">
      <c r="A903" t="s" s="15">
        <v>3511</v>
      </c>
      <c r="B903" s="16">
        <v>2014</v>
      </c>
      <c r="C903" t="s" s="15">
        <v>3499</v>
      </c>
      <c r="D903" t="s" s="17">
        <v>3512</v>
      </c>
      <c r="E903" t="s" s="17">
        <v>3513</v>
      </c>
      <c r="F903" s="18"/>
      <c r="G903" s="19">
        <v>2</v>
      </c>
      <c r="H903" t="s" s="20">
        <v>25</v>
      </c>
      <c r="I903" t="s" s="17">
        <v>42</v>
      </c>
      <c r="J903" s="18"/>
      <c r="K903" t="s" s="17">
        <v>43</v>
      </c>
      <c r="L903" t="s" s="17">
        <v>42</v>
      </c>
      <c r="M903" t="s" s="17">
        <v>212</v>
      </c>
      <c r="N903" s="18"/>
      <c r="O903" s="21"/>
      <c r="P903" t="s" s="20">
        <v>46</v>
      </c>
      <c r="Q903" s="21"/>
      <c r="R903" s="21"/>
      <c r="S903" s="21"/>
      <c r="T903" s="21"/>
    </row>
    <row r="904" ht="30" customHeight="1">
      <c r="A904" t="s" s="15">
        <v>3514</v>
      </c>
      <c r="B904" s="16">
        <v>2017</v>
      </c>
      <c r="C904" t="s" s="15">
        <v>3499</v>
      </c>
      <c r="D904" t="s" s="17">
        <v>3515</v>
      </c>
      <c r="E904" t="s" s="17">
        <v>3516</v>
      </c>
      <c r="F904" s="18"/>
      <c r="G904" s="19">
        <v>2</v>
      </c>
      <c r="H904" t="s" s="20">
        <v>25</v>
      </c>
      <c r="I904" t="s" s="17">
        <v>26</v>
      </c>
      <c r="J904" t="s" s="17">
        <v>93</v>
      </c>
      <c r="K904" s="18"/>
      <c r="L904" s="18"/>
      <c r="M904" s="18"/>
      <c r="N904" s="18"/>
      <c r="O904" s="21"/>
      <c r="P904" s="21"/>
      <c r="Q904" s="21"/>
      <c r="R904" s="21"/>
      <c r="S904" s="21"/>
      <c r="T904" s="21"/>
    </row>
    <row r="905" ht="30" customHeight="1">
      <c r="A905" t="s" s="15">
        <v>3517</v>
      </c>
      <c r="B905" s="16">
        <v>2017</v>
      </c>
      <c r="C905" t="s" s="15">
        <v>3499</v>
      </c>
      <c r="D905" t="s" s="17">
        <v>3515</v>
      </c>
      <c r="E905" t="s" s="17">
        <v>3518</v>
      </c>
      <c r="F905" s="18"/>
      <c r="G905" s="19">
        <v>2</v>
      </c>
      <c r="H905" t="s" s="20">
        <v>25</v>
      </c>
      <c r="I905" t="s" s="17">
        <v>26</v>
      </c>
      <c r="J905" t="s" s="17">
        <v>3340</v>
      </c>
      <c r="K905" s="18"/>
      <c r="L905" s="18"/>
      <c r="M905" s="18"/>
      <c r="N905" s="18"/>
      <c r="O905" s="21"/>
      <c r="P905" s="21"/>
      <c r="Q905" s="21"/>
      <c r="R905" s="21"/>
      <c r="S905" s="21"/>
      <c r="T905" s="21"/>
    </row>
    <row r="906" ht="30" customHeight="1">
      <c r="A906" t="s" s="15">
        <v>3519</v>
      </c>
      <c r="B906" s="16">
        <v>2019</v>
      </c>
      <c r="C906" t="s" s="15">
        <v>3499</v>
      </c>
      <c r="D906" t="s" s="17">
        <v>3520</v>
      </c>
      <c r="E906" t="s" s="17">
        <v>3521</v>
      </c>
      <c r="F906" s="18"/>
      <c r="G906" s="19">
        <v>2</v>
      </c>
      <c r="H906" t="s" s="20">
        <v>25</v>
      </c>
      <c r="I906" t="s" s="17">
        <v>26</v>
      </c>
      <c r="J906" t="s" s="17">
        <v>93</v>
      </c>
      <c r="K906" s="18"/>
      <c r="L906" s="18"/>
      <c r="M906" s="18"/>
      <c r="N906" s="18"/>
      <c r="O906" s="21"/>
      <c r="P906" s="21"/>
      <c r="Q906" s="21"/>
      <c r="R906" s="21"/>
      <c r="S906" s="21"/>
      <c r="T906" s="21"/>
    </row>
    <row r="907" ht="30" customHeight="1">
      <c r="A907" t="s" s="15">
        <v>3522</v>
      </c>
      <c r="B907" s="16">
        <v>2020</v>
      </c>
      <c r="C907" t="s" s="15">
        <v>3499</v>
      </c>
      <c r="D907" t="s" s="17">
        <v>3523</v>
      </c>
      <c r="E907" t="s" s="17">
        <v>3524</v>
      </c>
      <c r="F907" s="18"/>
      <c r="G907" s="19">
        <v>2</v>
      </c>
      <c r="H907" t="s" s="20">
        <v>25</v>
      </c>
      <c r="I907" t="s" s="17">
        <v>26</v>
      </c>
      <c r="J907" t="s" s="17">
        <v>2070</v>
      </c>
      <c r="K907" s="18"/>
      <c r="L907" s="18"/>
      <c r="M907" s="18"/>
      <c r="N907" s="18"/>
      <c r="O907" s="21"/>
      <c r="P907" s="21"/>
      <c r="Q907" s="21"/>
      <c r="R907" s="21"/>
      <c r="S907" s="21"/>
      <c r="T907" s="21"/>
    </row>
    <row r="908" ht="30" customHeight="1">
      <c r="A908" t="s" s="15">
        <v>3525</v>
      </c>
      <c r="B908" s="16">
        <v>2020</v>
      </c>
      <c r="C908" t="s" s="15">
        <v>3499</v>
      </c>
      <c r="D908" t="s" s="17">
        <v>3523</v>
      </c>
      <c r="E908" t="s" s="17">
        <v>3526</v>
      </c>
      <c r="F908" s="18"/>
      <c r="G908" s="19">
        <v>2</v>
      </c>
      <c r="H908" t="s" s="20">
        <v>25</v>
      </c>
      <c r="I908" t="s" s="17">
        <v>26</v>
      </c>
      <c r="J908" t="s" s="17">
        <v>119</v>
      </c>
      <c r="K908" t="s" s="17">
        <v>586</v>
      </c>
      <c r="L908" s="18"/>
      <c r="M908" s="18"/>
      <c r="N908" s="18"/>
      <c r="O908" s="21"/>
      <c r="P908" s="21"/>
      <c r="Q908" s="21"/>
      <c r="R908" s="21"/>
      <c r="S908" s="21"/>
      <c r="T908" s="21"/>
    </row>
    <row r="909" ht="30" customHeight="1">
      <c r="A909" t="s" s="15">
        <v>3527</v>
      </c>
      <c r="B909" s="16">
        <v>2021</v>
      </c>
      <c r="C909" t="s" s="15">
        <v>3499</v>
      </c>
      <c r="D909" t="s" s="17">
        <v>3528</v>
      </c>
      <c r="E909" t="s" s="17">
        <v>3529</v>
      </c>
      <c r="F909" s="18"/>
      <c r="G909" s="19">
        <v>2</v>
      </c>
      <c r="H909" t="s" s="20">
        <v>25</v>
      </c>
      <c r="I909" t="s" s="17">
        <v>26</v>
      </c>
      <c r="J909" t="s" s="17">
        <v>2070</v>
      </c>
      <c r="K909" s="18"/>
      <c r="L909" s="18"/>
      <c r="M909" s="18"/>
      <c r="N909" s="18"/>
      <c r="O909" s="21"/>
      <c r="P909" s="21"/>
      <c r="Q909" s="21"/>
      <c r="R909" s="21"/>
      <c r="S909" s="21"/>
      <c r="T909" s="21"/>
    </row>
    <row r="910" ht="30" customHeight="1">
      <c r="A910" t="s" s="15">
        <v>3530</v>
      </c>
      <c r="B910" s="16">
        <v>2022</v>
      </c>
      <c r="C910" t="s" s="15">
        <v>3499</v>
      </c>
      <c r="D910" t="s" s="17">
        <v>3531</v>
      </c>
      <c r="E910" t="s" s="17">
        <v>3532</v>
      </c>
      <c r="F910" s="18"/>
      <c r="G910" s="19">
        <v>2</v>
      </c>
      <c r="H910" t="s" s="20">
        <v>25</v>
      </c>
      <c r="I910" t="s" s="17">
        <v>42</v>
      </c>
      <c r="J910" s="18"/>
      <c r="K910" t="s" s="17">
        <v>43</v>
      </c>
      <c r="L910" t="s" s="17">
        <v>26</v>
      </c>
      <c r="M910" t="s" s="17">
        <v>44</v>
      </c>
      <c r="N910" t="s" s="22">
        <v>521</v>
      </c>
      <c r="O910" s="21"/>
      <c r="P910" t="s" s="20">
        <v>46</v>
      </c>
      <c r="Q910" t="s" s="20">
        <v>277</v>
      </c>
      <c r="R910" s="21"/>
      <c r="S910" s="21"/>
      <c r="T910" s="21"/>
    </row>
    <row r="911" ht="30" customHeight="1">
      <c r="A911" t="s" s="15">
        <v>3533</v>
      </c>
      <c r="B911" s="16">
        <v>2022</v>
      </c>
      <c r="C911" t="s" s="15">
        <v>3499</v>
      </c>
      <c r="D911" t="s" s="17">
        <v>3531</v>
      </c>
      <c r="E911" t="s" s="17">
        <v>3534</v>
      </c>
      <c r="F911" s="18"/>
      <c r="G911" s="19">
        <v>3</v>
      </c>
      <c r="H911" t="s" s="20">
        <v>46</v>
      </c>
      <c r="I911" t="s" s="17">
        <v>26</v>
      </c>
      <c r="J911" t="s" s="17">
        <v>131</v>
      </c>
      <c r="K911" s="18"/>
      <c r="L911" s="18"/>
      <c r="M911" s="18"/>
      <c r="N911" s="18"/>
      <c r="O911" s="21"/>
      <c r="P911" s="21"/>
      <c r="Q911" s="21"/>
      <c r="R911" s="21"/>
      <c r="S911" s="21"/>
      <c r="T911" s="21"/>
    </row>
    <row r="912" ht="30" customHeight="1">
      <c r="A912" t="s" s="15">
        <v>3535</v>
      </c>
      <c r="B912" s="16">
        <v>2022</v>
      </c>
      <c r="C912" t="s" s="15">
        <v>3499</v>
      </c>
      <c r="D912" t="s" s="17">
        <v>3531</v>
      </c>
      <c r="E912" t="s" s="17">
        <v>3536</v>
      </c>
      <c r="F912" s="18"/>
      <c r="G912" s="19">
        <v>2</v>
      </c>
      <c r="H912" t="s" s="20">
        <v>25</v>
      </c>
      <c r="I912" t="s" s="17">
        <v>26</v>
      </c>
      <c r="J912" t="s" s="17">
        <v>187</v>
      </c>
      <c r="K912" s="18"/>
      <c r="L912" s="18"/>
      <c r="M912" s="18"/>
      <c r="N912" s="18"/>
      <c r="O912" s="21"/>
      <c r="P912" s="21"/>
      <c r="Q912" s="21"/>
      <c r="R912" s="21"/>
      <c r="S912" s="21"/>
      <c r="T912" s="21"/>
    </row>
    <row r="913" ht="30" customHeight="1">
      <c r="A913" t="s" s="15">
        <v>3537</v>
      </c>
      <c r="B913" s="16">
        <v>2023</v>
      </c>
      <c r="C913" t="s" s="15">
        <v>3499</v>
      </c>
      <c r="D913" t="s" s="17">
        <v>3538</v>
      </c>
      <c r="E913" t="s" s="17">
        <v>3539</v>
      </c>
      <c r="F913" s="18"/>
      <c r="G913" s="19">
        <v>2</v>
      </c>
      <c r="H913" t="s" s="20">
        <v>25</v>
      </c>
      <c r="I913" t="s" s="17">
        <v>26</v>
      </c>
      <c r="J913" t="s" s="17">
        <v>119</v>
      </c>
      <c r="K913" s="18"/>
      <c r="L913" s="18"/>
      <c r="M913" s="18"/>
      <c r="N913" s="18"/>
      <c r="O913" s="21"/>
      <c r="P913" s="21"/>
      <c r="Q913" s="21"/>
      <c r="R913" s="21"/>
      <c r="S913" s="21"/>
      <c r="T913" s="21"/>
    </row>
    <row r="914" ht="30" customHeight="1">
      <c r="A914" t="s" s="15">
        <v>3540</v>
      </c>
      <c r="B914" s="16">
        <v>2018</v>
      </c>
      <c r="C914" t="s" s="15">
        <v>3541</v>
      </c>
      <c r="D914" t="s" s="17">
        <v>3542</v>
      </c>
      <c r="E914" t="s" s="17">
        <v>3543</v>
      </c>
      <c r="F914" s="18"/>
      <c r="G914" s="19">
        <v>3</v>
      </c>
      <c r="H914" t="s" s="20">
        <v>46</v>
      </c>
      <c r="I914" t="s" s="17">
        <v>26</v>
      </c>
      <c r="J914" t="s" s="17">
        <v>27</v>
      </c>
      <c r="K914" t="s" s="17">
        <v>262</v>
      </c>
      <c r="L914" s="18"/>
      <c r="M914" s="18"/>
      <c r="N914" s="18"/>
      <c r="O914" s="21"/>
      <c r="P914" s="21"/>
      <c r="Q914" s="21"/>
      <c r="R914" s="21"/>
      <c r="S914" s="21"/>
      <c r="T914" s="21"/>
    </row>
    <row r="915" ht="30" customHeight="1">
      <c r="A915" t="s" s="15">
        <v>3544</v>
      </c>
      <c r="B915" s="16">
        <v>2011</v>
      </c>
      <c r="C915" t="s" s="15">
        <v>3545</v>
      </c>
      <c r="D915" t="s" s="17">
        <v>3546</v>
      </c>
      <c r="E915" t="s" s="17">
        <v>3547</v>
      </c>
      <c r="F915" s="18"/>
      <c r="G915" s="19">
        <v>2</v>
      </c>
      <c r="H915" t="s" s="20">
        <v>25</v>
      </c>
      <c r="I915" t="s" s="17">
        <v>26</v>
      </c>
      <c r="J915" t="s" s="17">
        <v>27</v>
      </c>
      <c r="K915" s="18"/>
      <c r="L915" s="18"/>
      <c r="M915" s="18"/>
      <c r="N915" s="18"/>
      <c r="O915" s="21"/>
      <c r="P915" s="21"/>
      <c r="Q915" s="21"/>
      <c r="R915" s="21"/>
      <c r="S915" s="21"/>
      <c r="T915" s="21"/>
    </row>
    <row r="916" ht="30" customHeight="1">
      <c r="A916" t="s" s="15">
        <v>3548</v>
      </c>
      <c r="B916" s="16">
        <v>2012</v>
      </c>
      <c r="C916" t="s" s="15">
        <v>3545</v>
      </c>
      <c r="D916" t="s" s="17">
        <v>3549</v>
      </c>
      <c r="E916" t="s" s="17">
        <v>3550</v>
      </c>
      <c r="F916" s="18"/>
      <c r="G916" s="19">
        <v>2</v>
      </c>
      <c r="H916" t="s" s="20">
        <v>25</v>
      </c>
      <c r="I916" t="s" s="17">
        <v>26</v>
      </c>
      <c r="J916" t="s" s="17">
        <v>27</v>
      </c>
      <c r="K916" s="18"/>
      <c r="L916" s="18"/>
      <c r="M916" s="18"/>
      <c r="N916" s="18"/>
      <c r="O916" s="21"/>
      <c r="P916" s="21"/>
      <c r="Q916" s="21"/>
      <c r="R916" s="21"/>
      <c r="S916" s="21"/>
      <c r="T916" s="21"/>
    </row>
    <row r="917" ht="30" customHeight="1">
      <c r="A917" t="s" s="15">
        <v>3551</v>
      </c>
      <c r="B917" s="16">
        <v>2013</v>
      </c>
      <c r="C917" t="s" s="15">
        <v>3545</v>
      </c>
      <c r="D917" t="s" s="17">
        <v>3552</v>
      </c>
      <c r="E917" t="s" s="17">
        <v>3553</v>
      </c>
      <c r="F917" s="18"/>
      <c r="G917" s="19">
        <v>2</v>
      </c>
      <c r="H917" t="s" s="20">
        <v>25</v>
      </c>
      <c r="I917" t="s" s="17">
        <v>26</v>
      </c>
      <c r="J917" t="s" s="17">
        <v>27</v>
      </c>
      <c r="K917" s="18"/>
      <c r="L917" s="18"/>
      <c r="M917" s="18"/>
      <c r="N917" s="18"/>
      <c r="O917" s="21"/>
      <c r="P917" s="21"/>
      <c r="Q917" s="21"/>
      <c r="R917" s="21"/>
      <c r="S917" s="21"/>
      <c r="T917" s="21"/>
    </row>
    <row r="918" ht="45" customHeight="1">
      <c r="A918" t="s" s="15">
        <v>3554</v>
      </c>
      <c r="B918" s="16">
        <v>2018</v>
      </c>
      <c r="C918" t="s" s="15">
        <v>3555</v>
      </c>
      <c r="D918" t="s" s="17">
        <v>3556</v>
      </c>
      <c r="E918" t="s" s="17">
        <v>3557</v>
      </c>
      <c r="F918" s="18"/>
      <c r="G918" s="19">
        <v>2</v>
      </c>
      <c r="H918" t="s" s="20">
        <v>25</v>
      </c>
      <c r="I918" t="s" s="17">
        <v>26</v>
      </c>
      <c r="J918" t="s" s="17">
        <v>27</v>
      </c>
      <c r="K918" s="18"/>
      <c r="L918" s="18"/>
      <c r="M918" s="18"/>
      <c r="N918" s="18"/>
      <c r="O918" s="21"/>
      <c r="P918" s="21"/>
      <c r="Q918" s="21"/>
      <c r="R918" s="21"/>
      <c r="S918" s="21"/>
      <c r="T918" s="21"/>
    </row>
    <row r="919" ht="26.55" customHeight="1">
      <c r="A919" t="s" s="15">
        <v>3558</v>
      </c>
      <c r="B919" s="16">
        <v>2005</v>
      </c>
      <c r="C919" t="s" s="15">
        <v>3559</v>
      </c>
      <c r="D919" t="s" s="17">
        <v>3560</v>
      </c>
      <c r="E919" t="s" s="17">
        <v>3561</v>
      </c>
      <c r="F919" s="18"/>
      <c r="G919" s="19">
        <v>2</v>
      </c>
      <c r="H919" t="s" s="20">
        <v>25</v>
      </c>
      <c r="I919" t="s" s="17">
        <v>26</v>
      </c>
      <c r="J919" t="s" s="17">
        <v>970</v>
      </c>
      <c r="K919" t="s" s="17">
        <v>467</v>
      </c>
      <c r="L919" s="18"/>
      <c r="M919" s="18"/>
      <c r="N919" s="18"/>
      <c r="O919" s="21"/>
      <c r="P919" s="21"/>
      <c r="Q919" s="21"/>
      <c r="R919" s="21"/>
      <c r="S919" s="21"/>
      <c r="T919" s="21"/>
    </row>
    <row r="920" ht="13.55" customHeight="1">
      <c r="A920" t="s" s="15">
        <v>3562</v>
      </c>
      <c r="B920" s="16">
        <v>2014</v>
      </c>
      <c r="C920" t="s" s="15">
        <v>3559</v>
      </c>
      <c r="D920" t="s" s="17">
        <v>3563</v>
      </c>
      <c r="E920" t="s" s="17">
        <v>3564</v>
      </c>
      <c r="F920" s="18"/>
      <c r="G920" s="19">
        <v>2</v>
      </c>
      <c r="H920" t="s" s="20">
        <v>25</v>
      </c>
      <c r="I920" t="s" s="17">
        <v>26</v>
      </c>
      <c r="J920" t="s" s="17">
        <v>970</v>
      </c>
      <c r="K920" t="s" s="17">
        <v>467</v>
      </c>
      <c r="L920" s="18"/>
      <c r="M920" s="18"/>
      <c r="N920" s="18"/>
      <c r="O920" s="21"/>
      <c r="P920" s="21"/>
      <c r="Q920" s="21"/>
      <c r="R920" s="21"/>
      <c r="S920" s="21"/>
      <c r="T920" s="21"/>
    </row>
    <row r="921" ht="26.55" customHeight="1">
      <c r="A921" t="s" s="15">
        <v>3565</v>
      </c>
      <c r="B921" s="16">
        <v>2014</v>
      </c>
      <c r="C921" t="s" s="15">
        <v>3566</v>
      </c>
      <c r="D921" t="s" s="17">
        <v>3567</v>
      </c>
      <c r="E921" t="s" s="17">
        <v>3568</v>
      </c>
      <c r="F921" s="18"/>
      <c r="G921" s="19">
        <v>2</v>
      </c>
      <c r="H921" t="s" s="20">
        <v>25</v>
      </c>
      <c r="I921" t="s" s="17">
        <v>26</v>
      </c>
      <c r="J921" t="s" s="17">
        <v>178</v>
      </c>
      <c r="K921" s="18"/>
      <c r="L921" s="18"/>
      <c r="M921" s="18"/>
      <c r="N921" s="18"/>
      <c r="O921" s="21"/>
      <c r="P921" s="21"/>
      <c r="Q921" s="21"/>
      <c r="R921" s="21"/>
      <c r="S921" s="21"/>
      <c r="T921" s="21"/>
    </row>
    <row r="922" ht="30" customHeight="1">
      <c r="A922" t="s" s="15">
        <v>3569</v>
      </c>
      <c r="B922" s="16">
        <v>2021</v>
      </c>
      <c r="C922" t="s" s="15">
        <v>3570</v>
      </c>
      <c r="D922" t="s" s="17">
        <v>3571</v>
      </c>
      <c r="E922" t="s" s="17">
        <v>3572</v>
      </c>
      <c r="F922" s="18"/>
      <c r="G922" s="19">
        <v>3</v>
      </c>
      <c r="H922" t="s" s="20">
        <v>46</v>
      </c>
      <c r="I922" t="s" s="17">
        <v>26</v>
      </c>
      <c r="J922" t="s" s="17">
        <v>31</v>
      </c>
      <c r="K922" t="s" s="17">
        <v>262</v>
      </c>
      <c r="L922" s="18"/>
      <c r="M922" s="18"/>
      <c r="N922" s="18"/>
      <c r="O922" s="21"/>
      <c r="P922" s="21"/>
      <c r="Q922" s="21"/>
      <c r="R922" s="21"/>
      <c r="S922" s="21"/>
      <c r="T922" s="21"/>
    </row>
    <row r="923" ht="30" customHeight="1">
      <c r="A923" t="s" s="15">
        <v>3573</v>
      </c>
      <c r="B923" s="16">
        <v>2022</v>
      </c>
      <c r="C923" t="s" s="15">
        <v>3574</v>
      </c>
      <c r="D923" t="s" s="17">
        <v>3575</v>
      </c>
      <c r="E923" t="s" s="17">
        <v>3576</v>
      </c>
      <c r="F923" s="18"/>
      <c r="G923" s="19">
        <v>2</v>
      </c>
      <c r="H923" t="s" s="20">
        <v>25</v>
      </c>
      <c r="I923" t="s" s="17">
        <v>26</v>
      </c>
      <c r="J923" t="s" s="17">
        <v>608</v>
      </c>
      <c r="K923" s="18"/>
      <c r="L923" s="18"/>
      <c r="M923" s="18"/>
      <c r="N923" s="18"/>
      <c r="O923" s="21"/>
      <c r="P923" s="21"/>
      <c r="Q923" s="21"/>
      <c r="R923" s="21"/>
      <c r="S923" s="21"/>
      <c r="T923" s="21"/>
    </row>
    <row r="924" ht="30" customHeight="1">
      <c r="A924" t="s" s="15">
        <v>3577</v>
      </c>
      <c r="B924" s="16">
        <v>2007</v>
      </c>
      <c r="C924" t="s" s="15">
        <v>3578</v>
      </c>
      <c r="D924" t="s" s="17">
        <v>3579</v>
      </c>
      <c r="E924" t="s" s="17">
        <v>3580</v>
      </c>
      <c r="F924" s="18"/>
      <c r="G924" s="19">
        <v>3</v>
      </c>
      <c r="H924" t="s" s="20">
        <v>46</v>
      </c>
      <c r="I924" t="s" s="17">
        <v>26</v>
      </c>
      <c r="J924" t="s" s="17">
        <v>31</v>
      </c>
      <c r="K924" s="18"/>
      <c r="L924" s="18"/>
      <c r="M924" s="18"/>
      <c r="N924" s="18"/>
      <c r="O924" s="21"/>
      <c r="P924" s="21"/>
      <c r="Q924" s="21"/>
      <c r="R924" s="21"/>
      <c r="S924" s="21"/>
      <c r="T924" s="21"/>
    </row>
    <row r="925" ht="30" customHeight="1">
      <c r="A925" t="s" s="15">
        <v>3581</v>
      </c>
      <c r="B925" s="16">
        <v>2013</v>
      </c>
      <c r="C925" t="s" s="15">
        <v>3582</v>
      </c>
      <c r="D925" t="s" s="17">
        <v>3583</v>
      </c>
      <c r="E925" t="s" s="17">
        <v>3584</v>
      </c>
      <c r="F925" s="18"/>
      <c r="G925" s="19">
        <v>2</v>
      </c>
      <c r="H925" t="s" s="20">
        <v>25</v>
      </c>
      <c r="I925" t="s" s="17">
        <v>26</v>
      </c>
      <c r="J925" t="s" s="17">
        <v>178</v>
      </c>
      <c r="K925" s="18"/>
      <c r="L925" s="18"/>
      <c r="M925" s="18"/>
      <c r="N925" s="18"/>
      <c r="O925" s="21"/>
      <c r="P925" s="21"/>
      <c r="Q925" s="21"/>
      <c r="R925" s="21"/>
      <c r="S925" s="21"/>
      <c r="T925" s="21"/>
    </row>
    <row r="926" ht="30" customHeight="1">
      <c r="A926" t="s" s="15">
        <v>3585</v>
      </c>
      <c r="B926" s="16">
        <v>2011</v>
      </c>
      <c r="C926" t="s" s="15">
        <v>3586</v>
      </c>
      <c r="D926" t="s" s="17">
        <v>3587</v>
      </c>
      <c r="E926" t="s" s="17">
        <v>3588</v>
      </c>
      <c r="F926" s="18"/>
      <c r="G926" s="19">
        <v>3</v>
      </c>
      <c r="H926" t="s" s="20">
        <v>46</v>
      </c>
      <c r="I926" t="s" s="17">
        <v>26</v>
      </c>
      <c r="J926" t="s" s="17">
        <v>31</v>
      </c>
      <c r="K926" s="18"/>
      <c r="L926" s="18"/>
      <c r="M926" s="18"/>
      <c r="N926" s="18"/>
      <c r="O926" s="21"/>
      <c r="P926" s="21"/>
      <c r="Q926" s="21"/>
      <c r="R926" s="21"/>
      <c r="S926" s="21"/>
      <c r="T926" s="21"/>
    </row>
    <row r="927" ht="30" customHeight="1">
      <c r="A927" t="s" s="15">
        <v>3589</v>
      </c>
      <c r="B927" s="16">
        <v>2013</v>
      </c>
      <c r="C927" t="s" s="15">
        <v>3590</v>
      </c>
      <c r="D927" t="s" s="17">
        <v>3591</v>
      </c>
      <c r="E927" t="s" s="17">
        <v>3592</v>
      </c>
      <c r="F927" s="18"/>
      <c r="G927" s="19">
        <v>2</v>
      </c>
      <c r="H927" t="s" s="20">
        <v>25</v>
      </c>
      <c r="I927" t="s" s="17">
        <v>26</v>
      </c>
      <c r="J927" t="s" s="17">
        <v>93</v>
      </c>
      <c r="K927" s="18"/>
      <c r="L927" s="18"/>
      <c r="M927" s="18"/>
      <c r="N927" s="18"/>
      <c r="O927" s="21"/>
      <c r="P927" s="21"/>
      <c r="Q927" s="21"/>
      <c r="R927" s="21"/>
      <c r="S927" s="21"/>
      <c r="T927" s="21"/>
    </row>
    <row r="928" ht="26.55" customHeight="1">
      <c r="A928" t="s" s="15">
        <v>3593</v>
      </c>
      <c r="B928" s="16">
        <v>2009</v>
      </c>
      <c r="C928" t="s" s="15">
        <v>3594</v>
      </c>
      <c r="D928" t="s" s="17">
        <v>3595</v>
      </c>
      <c r="E928" t="s" s="17">
        <v>3596</v>
      </c>
      <c r="F928" s="18"/>
      <c r="G928" s="19">
        <v>2</v>
      </c>
      <c r="H928" t="s" s="20">
        <v>25</v>
      </c>
      <c r="I928" t="s" s="17">
        <v>26</v>
      </c>
      <c r="J928" t="s" s="17">
        <v>93</v>
      </c>
      <c r="K928" s="18"/>
      <c r="L928" s="18"/>
      <c r="M928" s="18"/>
      <c r="N928" s="18"/>
      <c r="O928" s="21"/>
      <c r="P928" s="21"/>
      <c r="Q928" s="21"/>
      <c r="R928" s="21"/>
      <c r="S928" s="21"/>
      <c r="T928" s="21"/>
    </row>
    <row r="929" ht="30" customHeight="1">
      <c r="A929" t="s" s="15">
        <v>3597</v>
      </c>
      <c r="B929" s="16">
        <v>2021</v>
      </c>
      <c r="C929" t="s" s="15">
        <v>3594</v>
      </c>
      <c r="D929" t="s" s="17">
        <v>3598</v>
      </c>
      <c r="E929" t="s" s="17">
        <v>3599</v>
      </c>
      <c r="F929" s="18"/>
      <c r="G929" s="19">
        <v>2</v>
      </c>
      <c r="H929" t="s" s="20">
        <v>25</v>
      </c>
      <c r="I929" t="s" s="17">
        <v>26</v>
      </c>
      <c r="J929" t="s" s="17">
        <v>93</v>
      </c>
      <c r="K929" s="18"/>
      <c r="L929" s="18"/>
      <c r="M929" s="18"/>
      <c r="N929" s="18"/>
      <c r="O929" s="21"/>
      <c r="P929" s="21"/>
      <c r="Q929" s="21"/>
      <c r="R929" s="21"/>
      <c r="S929" s="21"/>
      <c r="T929" s="21"/>
    </row>
    <row r="930" ht="30" customHeight="1">
      <c r="A930" t="s" s="15">
        <v>3600</v>
      </c>
      <c r="B930" s="16">
        <v>2014</v>
      </c>
      <c r="C930" t="s" s="15">
        <v>3601</v>
      </c>
      <c r="D930" t="s" s="17">
        <v>3602</v>
      </c>
      <c r="E930" t="s" s="17">
        <v>3603</v>
      </c>
      <c r="F930" s="18"/>
      <c r="G930" s="19">
        <v>3</v>
      </c>
      <c r="H930" t="s" s="20">
        <v>46</v>
      </c>
      <c r="I930" t="s" s="17">
        <v>26</v>
      </c>
      <c r="J930" t="s" s="17">
        <v>93</v>
      </c>
      <c r="K930" t="s" s="17">
        <v>80</v>
      </c>
      <c r="L930" s="18"/>
      <c r="M930" s="18"/>
      <c r="N930" s="18"/>
      <c r="O930" s="21"/>
      <c r="P930" s="21"/>
      <c r="Q930" s="21"/>
      <c r="R930" s="21"/>
      <c r="S930" s="21"/>
      <c r="T930" s="21"/>
    </row>
    <row r="931" ht="30" customHeight="1">
      <c r="A931" t="s" s="15">
        <v>3604</v>
      </c>
      <c r="B931" s="16">
        <v>2017</v>
      </c>
      <c r="C931" t="s" s="15">
        <v>3601</v>
      </c>
      <c r="D931" t="s" s="17">
        <v>3605</v>
      </c>
      <c r="E931" t="s" s="17">
        <v>3606</v>
      </c>
      <c r="F931" s="18"/>
      <c r="G931" s="19">
        <v>2</v>
      </c>
      <c r="H931" t="s" s="20">
        <v>25</v>
      </c>
      <c r="I931" t="s" s="17">
        <v>26</v>
      </c>
      <c r="J931" t="s" s="17">
        <v>93</v>
      </c>
      <c r="K931" s="18"/>
      <c r="L931" s="18"/>
      <c r="M931" s="18"/>
      <c r="N931" s="18"/>
      <c r="O931" s="21"/>
      <c r="P931" s="21"/>
      <c r="Q931" s="21"/>
      <c r="R931" s="21"/>
      <c r="S931" s="21"/>
      <c r="T931" s="21"/>
    </row>
    <row r="932" ht="39.55" customHeight="1">
      <c r="A932" t="s" s="15">
        <v>3607</v>
      </c>
      <c r="B932" s="16">
        <v>2018</v>
      </c>
      <c r="C932" t="s" s="15">
        <v>3601</v>
      </c>
      <c r="D932" t="s" s="17">
        <v>3608</v>
      </c>
      <c r="E932" t="s" s="17">
        <v>3609</v>
      </c>
      <c r="F932" s="18"/>
      <c r="G932" s="19">
        <v>2</v>
      </c>
      <c r="H932" t="s" s="20">
        <v>25</v>
      </c>
      <c r="I932" t="s" s="17">
        <v>42</v>
      </c>
      <c r="J932" s="18"/>
      <c r="K932" t="s" s="17">
        <v>43</v>
      </c>
      <c r="L932" t="s" s="17">
        <v>26</v>
      </c>
      <c r="M932" s="18"/>
      <c r="N932" t="s" s="17">
        <v>316</v>
      </c>
      <c r="O932" t="s" s="20">
        <v>3610</v>
      </c>
      <c r="P932" s="21"/>
      <c r="Q932" s="21"/>
      <c r="R932" s="21"/>
      <c r="S932" s="21"/>
      <c r="T932" s="21"/>
    </row>
    <row r="933" ht="30" customHeight="1">
      <c r="A933" t="s" s="15">
        <v>3611</v>
      </c>
      <c r="B933" s="16">
        <v>2010</v>
      </c>
      <c r="C933" t="s" s="15">
        <v>3612</v>
      </c>
      <c r="D933" t="s" s="17">
        <v>3613</v>
      </c>
      <c r="E933" s="18"/>
      <c r="F933" s="18"/>
      <c r="G933" s="19">
        <v>2</v>
      </c>
      <c r="H933" t="s" s="20">
        <v>25</v>
      </c>
      <c r="I933" t="s" s="17">
        <v>26</v>
      </c>
      <c r="J933" t="s" s="17">
        <v>27</v>
      </c>
      <c r="K933" s="18"/>
      <c r="L933" s="18"/>
      <c r="M933" s="18"/>
      <c r="N933" s="18"/>
      <c r="O933" s="21"/>
      <c r="P933" s="21"/>
      <c r="Q933" s="21"/>
      <c r="R933" s="21"/>
      <c r="S933" s="21"/>
      <c r="T933" s="21"/>
    </row>
    <row r="934" ht="30" customHeight="1">
      <c r="A934" t="s" s="15">
        <v>3614</v>
      </c>
      <c r="B934" s="16">
        <v>2021</v>
      </c>
      <c r="C934" t="s" s="15">
        <v>3615</v>
      </c>
      <c r="D934" t="s" s="17">
        <v>3616</v>
      </c>
      <c r="E934" t="s" s="17">
        <v>3617</v>
      </c>
      <c r="F934" s="18"/>
      <c r="G934" s="19">
        <v>2</v>
      </c>
      <c r="H934" t="s" s="20">
        <v>25</v>
      </c>
      <c r="I934" t="s" s="17">
        <v>26</v>
      </c>
      <c r="J934" t="s" s="17">
        <v>31</v>
      </c>
      <c r="K934" t="s" s="17">
        <v>32</v>
      </c>
      <c r="L934" s="18"/>
      <c r="M934" s="18"/>
      <c r="N934" s="18"/>
      <c r="O934" s="21"/>
      <c r="P934" s="21"/>
      <c r="Q934" s="21"/>
      <c r="R934" s="21"/>
      <c r="S934" s="21"/>
      <c r="T934" s="21"/>
    </row>
    <row r="935" ht="30" customHeight="1">
      <c r="A935" t="s" s="15">
        <v>3618</v>
      </c>
      <c r="B935" s="16">
        <v>2022</v>
      </c>
      <c r="C935" t="s" s="15">
        <v>3619</v>
      </c>
      <c r="D935" t="s" s="17">
        <v>3620</v>
      </c>
      <c r="E935" t="s" s="17">
        <v>3621</v>
      </c>
      <c r="F935" s="18"/>
      <c r="G935" s="19">
        <v>2</v>
      </c>
      <c r="H935" t="s" s="20">
        <v>25</v>
      </c>
      <c r="I935" t="s" s="17">
        <v>26</v>
      </c>
      <c r="J935" t="s" s="17">
        <v>27</v>
      </c>
      <c r="K935" s="18"/>
      <c r="L935" s="18"/>
      <c r="M935" s="18"/>
      <c r="N935" s="18"/>
      <c r="O935" s="21"/>
      <c r="P935" s="21"/>
      <c r="Q935" s="21"/>
      <c r="R935" s="21"/>
      <c r="S935" s="21"/>
      <c r="T935" s="21"/>
    </row>
    <row r="936" ht="30" customHeight="1">
      <c r="A936" t="s" s="15">
        <v>3622</v>
      </c>
      <c r="B936" s="16">
        <v>2019</v>
      </c>
      <c r="C936" t="s" s="15">
        <v>3623</v>
      </c>
      <c r="D936" t="s" s="17">
        <v>3624</v>
      </c>
      <c r="E936" t="s" s="17">
        <v>3625</v>
      </c>
      <c r="F936" s="18"/>
      <c r="G936" s="19">
        <v>2</v>
      </c>
      <c r="H936" t="s" s="20">
        <v>25</v>
      </c>
      <c r="I936" t="s" s="17">
        <v>26</v>
      </c>
      <c r="J936" t="s" s="17">
        <v>93</v>
      </c>
      <c r="K936" s="18"/>
      <c r="L936" s="18"/>
      <c r="M936" s="18"/>
      <c r="N936" s="18"/>
      <c r="O936" s="21"/>
      <c r="P936" s="21"/>
      <c r="Q936" s="21"/>
      <c r="R936" s="21"/>
      <c r="S936" s="21"/>
      <c r="T936" s="21"/>
    </row>
    <row r="937" ht="30" customHeight="1">
      <c r="A937" t="s" s="15">
        <v>3626</v>
      </c>
      <c r="B937" s="16">
        <v>2020</v>
      </c>
      <c r="C937" t="s" s="15">
        <v>3627</v>
      </c>
      <c r="D937" t="s" s="17">
        <v>3628</v>
      </c>
      <c r="E937" t="s" s="17">
        <v>3629</v>
      </c>
      <c r="F937" s="18"/>
      <c r="G937" s="19">
        <v>3</v>
      </c>
      <c r="H937" t="s" s="20">
        <v>46</v>
      </c>
      <c r="I937" t="s" s="17">
        <v>26</v>
      </c>
      <c r="J937" t="s" s="17">
        <v>31</v>
      </c>
      <c r="K937" t="s" s="17">
        <v>262</v>
      </c>
      <c r="L937" s="18"/>
      <c r="M937" s="18"/>
      <c r="N937" s="18"/>
      <c r="O937" s="21"/>
      <c r="P937" s="21"/>
      <c r="Q937" s="21"/>
      <c r="R937" s="21"/>
      <c r="S937" s="21"/>
      <c r="T937" s="21"/>
    </row>
    <row r="938" ht="30" customHeight="1">
      <c r="A938" t="s" s="15">
        <v>3630</v>
      </c>
      <c r="B938" s="16">
        <v>2020</v>
      </c>
      <c r="C938" t="s" s="15">
        <v>3631</v>
      </c>
      <c r="D938" t="s" s="17">
        <v>3632</v>
      </c>
      <c r="E938" t="s" s="17">
        <v>3633</v>
      </c>
      <c r="F938" s="18"/>
      <c r="G938" s="19">
        <v>2</v>
      </c>
      <c r="H938" t="s" s="20">
        <v>25</v>
      </c>
      <c r="I938" t="s" s="17">
        <v>26</v>
      </c>
      <c r="J938" t="s" s="17">
        <v>66</v>
      </c>
      <c r="K938" s="18"/>
      <c r="L938" s="18"/>
      <c r="M938" s="18"/>
      <c r="N938" s="18"/>
      <c r="O938" s="21"/>
      <c r="P938" s="21"/>
      <c r="Q938" s="21"/>
      <c r="R938" s="21"/>
      <c r="S938" s="21"/>
      <c r="T938" s="21"/>
    </row>
    <row r="939" ht="30" customHeight="1">
      <c r="A939" t="s" s="15">
        <v>3634</v>
      </c>
      <c r="B939" s="16">
        <v>2014</v>
      </c>
      <c r="C939" t="s" s="15">
        <v>3635</v>
      </c>
      <c r="D939" t="s" s="17">
        <v>3636</v>
      </c>
      <c r="E939" t="s" s="17">
        <v>3637</v>
      </c>
      <c r="F939" s="18"/>
      <c r="G939" s="19">
        <v>2</v>
      </c>
      <c r="H939" t="s" s="20">
        <v>25</v>
      </c>
      <c r="I939" t="s" s="17">
        <v>26</v>
      </c>
      <c r="J939" t="s" s="17">
        <v>187</v>
      </c>
      <c r="K939" s="18"/>
      <c r="L939" s="18"/>
      <c r="M939" s="18"/>
      <c r="N939" s="18"/>
      <c r="O939" s="21"/>
      <c r="P939" s="21"/>
      <c r="Q939" s="21"/>
      <c r="R939" s="21"/>
      <c r="S939" s="21"/>
      <c r="T939" s="21"/>
    </row>
    <row r="940" ht="30" customHeight="1">
      <c r="A940" t="s" s="15">
        <v>3638</v>
      </c>
      <c r="B940" s="16">
        <v>2023</v>
      </c>
      <c r="C940" t="s" s="15">
        <v>3635</v>
      </c>
      <c r="D940" t="s" s="17">
        <v>3639</v>
      </c>
      <c r="E940" t="s" s="17">
        <v>3640</v>
      </c>
      <c r="F940" s="18"/>
      <c r="G940" s="19">
        <v>2</v>
      </c>
      <c r="H940" t="s" s="20">
        <v>25</v>
      </c>
      <c r="I940" t="s" s="17">
        <v>26</v>
      </c>
      <c r="J940" t="s" s="17">
        <v>85</v>
      </c>
      <c r="K940" t="s" s="17">
        <v>586</v>
      </c>
      <c r="L940" s="18"/>
      <c r="M940" s="18"/>
      <c r="N940" s="18"/>
      <c r="O940" s="21"/>
      <c r="P940" s="21"/>
      <c r="Q940" s="21"/>
      <c r="R940" s="21"/>
      <c r="S940" s="21"/>
      <c r="T940" s="21"/>
    </row>
    <row r="941" ht="45" customHeight="1">
      <c r="A941" t="s" s="15">
        <v>3641</v>
      </c>
      <c r="B941" s="16">
        <v>2022</v>
      </c>
      <c r="C941" t="s" s="15">
        <v>3642</v>
      </c>
      <c r="D941" t="s" s="17">
        <v>3643</v>
      </c>
      <c r="E941" t="s" s="17">
        <v>3644</v>
      </c>
      <c r="F941" s="18"/>
      <c r="G941" s="19">
        <v>3</v>
      </c>
      <c r="H941" t="s" s="20">
        <v>46</v>
      </c>
      <c r="I941" t="s" s="17">
        <v>26</v>
      </c>
      <c r="J941" t="s" s="17">
        <v>93</v>
      </c>
      <c r="K941" t="s" s="17">
        <v>262</v>
      </c>
      <c r="L941" s="18"/>
      <c r="M941" s="18"/>
      <c r="N941" s="18"/>
      <c r="O941" s="21"/>
      <c r="P941" s="21"/>
      <c r="Q941" s="21"/>
      <c r="R941" s="21"/>
      <c r="S941" s="21"/>
      <c r="T941" s="21"/>
    </row>
    <row r="942" ht="30" customHeight="1">
      <c r="A942" t="s" s="15">
        <v>3645</v>
      </c>
      <c r="B942" s="16">
        <v>2020</v>
      </c>
      <c r="C942" t="s" s="15">
        <v>3646</v>
      </c>
      <c r="D942" t="s" s="17">
        <v>3647</v>
      </c>
      <c r="E942" t="s" s="17">
        <v>3648</v>
      </c>
      <c r="F942" s="18"/>
      <c r="G942" s="19">
        <v>3</v>
      </c>
      <c r="H942" t="s" s="20">
        <v>46</v>
      </c>
      <c r="I942" t="s" s="17">
        <v>26</v>
      </c>
      <c r="J942" t="s" s="17">
        <v>85</v>
      </c>
      <c r="K942" t="s" s="17">
        <v>572</v>
      </c>
      <c r="L942" s="18"/>
      <c r="M942" s="18"/>
      <c r="N942" s="18"/>
      <c r="O942" s="21"/>
      <c r="P942" s="21"/>
      <c r="Q942" s="21"/>
      <c r="R942" s="21"/>
      <c r="S942" s="21"/>
      <c r="T942" s="21"/>
    </row>
    <row r="943" ht="30" customHeight="1">
      <c r="A943" t="s" s="15">
        <v>3649</v>
      </c>
      <c r="B943" s="16">
        <v>2022</v>
      </c>
      <c r="C943" t="s" s="15">
        <v>3650</v>
      </c>
      <c r="D943" t="s" s="17">
        <v>3651</v>
      </c>
      <c r="E943" t="s" s="17">
        <v>3652</v>
      </c>
      <c r="F943" s="18"/>
      <c r="G943" s="19">
        <v>3</v>
      </c>
      <c r="H943" t="s" s="20">
        <v>46</v>
      </c>
      <c r="I943" t="s" s="17">
        <v>26</v>
      </c>
      <c r="J943" t="s" s="17">
        <v>93</v>
      </c>
      <c r="K943" s="18"/>
      <c r="L943" s="18"/>
      <c r="M943" s="18"/>
      <c r="N943" s="18"/>
      <c r="O943" s="21"/>
      <c r="P943" s="21"/>
      <c r="Q943" s="21"/>
      <c r="R943" s="21"/>
      <c r="S943" s="21"/>
      <c r="T943" s="21"/>
    </row>
    <row r="944" ht="30" customHeight="1">
      <c r="A944" t="s" s="15">
        <v>3653</v>
      </c>
      <c r="B944" s="16">
        <v>2021</v>
      </c>
      <c r="C944" t="s" s="15">
        <v>3654</v>
      </c>
      <c r="D944" t="s" s="17">
        <v>3655</v>
      </c>
      <c r="E944" t="s" s="17">
        <v>3656</v>
      </c>
      <c r="F944" s="18"/>
      <c r="G944" s="19">
        <v>2</v>
      </c>
      <c r="H944" t="s" s="20">
        <v>25</v>
      </c>
      <c r="I944" t="s" s="17">
        <v>26</v>
      </c>
      <c r="J944" t="s" s="17">
        <v>85</v>
      </c>
      <c r="K944" s="18"/>
      <c r="L944" s="18"/>
      <c r="M944" s="18"/>
      <c r="N944" s="18"/>
      <c r="O944" s="21"/>
      <c r="P944" s="21"/>
      <c r="Q944" s="21"/>
      <c r="R944" s="21"/>
      <c r="S944" s="21"/>
      <c r="T944" s="21"/>
    </row>
    <row r="945" ht="30" customHeight="1">
      <c r="A945" t="s" s="15">
        <v>3657</v>
      </c>
      <c r="B945" s="16">
        <v>2022</v>
      </c>
      <c r="C945" t="s" s="15">
        <v>3654</v>
      </c>
      <c r="D945" t="s" s="17">
        <v>3658</v>
      </c>
      <c r="E945" t="s" s="17">
        <v>3659</v>
      </c>
      <c r="F945" s="18"/>
      <c r="G945" s="19">
        <v>2</v>
      </c>
      <c r="H945" t="s" s="20">
        <v>25</v>
      </c>
      <c r="I945" t="s" s="17">
        <v>26</v>
      </c>
      <c r="J945" t="s" s="17">
        <v>31</v>
      </c>
      <c r="K945" s="18"/>
      <c r="L945" s="18"/>
      <c r="M945" s="18"/>
      <c r="N945" s="18"/>
      <c r="O945" s="21"/>
      <c r="P945" s="21"/>
      <c r="Q945" s="21"/>
      <c r="R945" s="21"/>
      <c r="S945" s="21"/>
      <c r="T945" s="21"/>
    </row>
    <row r="946" ht="39.55" customHeight="1">
      <c r="A946" t="s" s="15">
        <v>3660</v>
      </c>
      <c r="B946" s="16">
        <v>2014</v>
      </c>
      <c r="C946" t="s" s="15">
        <v>3661</v>
      </c>
      <c r="D946" t="s" s="17">
        <v>3662</v>
      </c>
      <c r="E946" t="s" s="17">
        <v>3663</v>
      </c>
      <c r="F946" s="18"/>
      <c r="G946" s="19">
        <v>2</v>
      </c>
      <c r="H946" t="s" s="20">
        <v>25</v>
      </c>
      <c r="I946" t="s" s="17">
        <v>26</v>
      </c>
      <c r="J946" t="s" s="17">
        <v>885</v>
      </c>
      <c r="K946" t="s" s="17">
        <v>886</v>
      </c>
      <c r="L946" s="18"/>
      <c r="M946" s="18"/>
      <c r="N946" s="18"/>
      <c r="O946" s="21"/>
      <c r="P946" s="21"/>
      <c r="Q946" s="21"/>
      <c r="R946" s="21"/>
      <c r="S946" s="21"/>
      <c r="T946" s="21"/>
    </row>
    <row r="947" ht="39.55" customHeight="1">
      <c r="A947" t="s" s="15">
        <v>3664</v>
      </c>
      <c r="B947" s="16">
        <v>2017</v>
      </c>
      <c r="C947" t="s" s="15">
        <v>3665</v>
      </c>
      <c r="D947" t="s" s="17">
        <v>3666</v>
      </c>
      <c r="E947" t="s" s="17">
        <v>3667</v>
      </c>
      <c r="F947" s="18"/>
      <c r="G947" s="19">
        <v>3</v>
      </c>
      <c r="H947" t="s" s="20">
        <v>46</v>
      </c>
      <c r="I947" t="s" s="17">
        <v>26</v>
      </c>
      <c r="J947" t="s" s="17">
        <v>85</v>
      </c>
      <c r="K947" t="s" s="17">
        <v>32</v>
      </c>
      <c r="L947" s="18"/>
      <c r="M947" s="18"/>
      <c r="N947" s="18"/>
      <c r="O947" s="21"/>
      <c r="P947" s="21"/>
      <c r="Q947" s="21"/>
      <c r="R947" s="21"/>
      <c r="S947" s="21"/>
      <c r="T947" s="21"/>
    </row>
    <row r="948" ht="30" customHeight="1">
      <c r="A948" t="s" s="15">
        <v>3668</v>
      </c>
      <c r="B948" s="16">
        <v>2023</v>
      </c>
      <c r="C948" t="s" s="15">
        <v>3669</v>
      </c>
      <c r="D948" t="s" s="17">
        <v>3670</v>
      </c>
      <c r="E948" t="s" s="17">
        <v>3671</v>
      </c>
      <c r="F948" s="18"/>
      <c r="G948" s="19">
        <v>2</v>
      </c>
      <c r="H948" t="s" s="20">
        <v>25</v>
      </c>
      <c r="I948" t="s" s="17">
        <v>26</v>
      </c>
      <c r="J948" t="s" s="17">
        <v>61</v>
      </c>
      <c r="K948" t="s" s="17">
        <v>1472</v>
      </c>
      <c r="L948" s="18"/>
      <c r="M948" s="18"/>
      <c r="N948" s="18"/>
      <c r="O948" s="21"/>
      <c r="P948" s="21"/>
      <c r="Q948" s="21"/>
      <c r="R948" s="21"/>
      <c r="S948" s="21"/>
      <c r="T948" s="21"/>
    </row>
    <row r="949" ht="39.55" customHeight="1">
      <c r="A949" t="s" s="15">
        <v>3672</v>
      </c>
      <c r="B949" s="16">
        <v>2010</v>
      </c>
      <c r="C949" t="s" s="15">
        <v>3673</v>
      </c>
      <c r="D949" t="s" s="17">
        <v>3674</v>
      </c>
      <c r="E949" t="s" s="17">
        <v>3675</v>
      </c>
      <c r="F949" s="18"/>
      <c r="G949" s="19">
        <v>2</v>
      </c>
      <c r="H949" t="s" s="20">
        <v>25</v>
      </c>
      <c r="I949" t="s" s="17">
        <v>26</v>
      </c>
      <c r="J949" t="s" s="17">
        <v>178</v>
      </c>
      <c r="K949" s="18"/>
      <c r="L949" s="18"/>
      <c r="M949" s="18"/>
      <c r="N949" s="18"/>
      <c r="O949" s="21"/>
      <c r="P949" s="21"/>
      <c r="Q949" s="21"/>
      <c r="R949" s="21"/>
      <c r="S949" s="21"/>
      <c r="T949" s="21"/>
    </row>
    <row r="950" ht="30" customHeight="1">
      <c r="A950" t="s" s="15">
        <v>3676</v>
      </c>
      <c r="B950" s="16">
        <v>2008</v>
      </c>
      <c r="C950" t="s" s="15">
        <v>3677</v>
      </c>
      <c r="D950" t="s" s="17">
        <v>3678</v>
      </c>
      <c r="E950" t="s" s="17">
        <v>3679</v>
      </c>
      <c r="F950" s="18"/>
      <c r="G950" s="19">
        <v>2</v>
      </c>
      <c r="H950" t="s" s="20">
        <v>25</v>
      </c>
      <c r="I950" t="s" s="17">
        <v>26</v>
      </c>
      <c r="J950" t="s" s="17">
        <v>27</v>
      </c>
      <c r="K950" s="18"/>
      <c r="L950" s="18"/>
      <c r="M950" s="18"/>
      <c r="N950" s="18"/>
      <c r="O950" s="21"/>
      <c r="P950" s="21"/>
      <c r="Q950" s="21"/>
      <c r="R950" s="21"/>
      <c r="S950" s="21"/>
      <c r="T950" s="21"/>
    </row>
    <row r="951" ht="45" customHeight="1">
      <c r="A951" t="s" s="15">
        <v>3680</v>
      </c>
      <c r="B951" s="16">
        <v>2020</v>
      </c>
      <c r="C951" t="s" s="15">
        <v>3677</v>
      </c>
      <c r="D951" t="s" s="17">
        <v>3681</v>
      </c>
      <c r="E951" t="s" s="17">
        <v>3682</v>
      </c>
      <c r="F951" s="18"/>
      <c r="G951" s="19">
        <v>3</v>
      </c>
      <c r="H951" t="s" s="20">
        <v>46</v>
      </c>
      <c r="I951" t="s" s="17">
        <v>26</v>
      </c>
      <c r="J951" t="s" s="17">
        <v>93</v>
      </c>
      <c r="K951" t="s" s="17">
        <v>262</v>
      </c>
      <c r="L951" s="18"/>
      <c r="M951" s="18"/>
      <c r="N951" s="18"/>
      <c r="O951" s="21"/>
      <c r="P951" s="21"/>
      <c r="Q951" s="21"/>
      <c r="R951" s="21"/>
      <c r="S951" s="21"/>
      <c r="T951" s="21"/>
    </row>
    <row r="952" ht="30" customHeight="1">
      <c r="A952" t="s" s="15">
        <v>3683</v>
      </c>
      <c r="B952" s="16">
        <v>2016</v>
      </c>
      <c r="C952" t="s" s="15">
        <v>3684</v>
      </c>
      <c r="D952" t="s" s="17">
        <v>3685</v>
      </c>
      <c r="E952" t="s" s="17">
        <v>3686</v>
      </c>
      <c r="F952" s="18"/>
      <c r="G952" s="19">
        <v>2</v>
      </c>
      <c r="H952" t="s" s="20">
        <v>25</v>
      </c>
      <c r="I952" t="s" s="17">
        <v>26</v>
      </c>
      <c r="J952" t="s" s="17">
        <v>27</v>
      </c>
      <c r="K952" s="18"/>
      <c r="L952" s="18"/>
      <c r="M952" s="18"/>
      <c r="N952" s="18"/>
      <c r="O952" s="21"/>
      <c r="P952" s="21"/>
      <c r="Q952" s="21"/>
      <c r="R952" s="21"/>
      <c r="S952" s="21"/>
      <c r="T952" s="21"/>
    </row>
    <row r="953" ht="30" customHeight="1">
      <c r="A953" t="s" s="15">
        <v>3687</v>
      </c>
      <c r="B953" s="16">
        <v>2017</v>
      </c>
      <c r="C953" t="s" s="15">
        <v>3688</v>
      </c>
      <c r="D953" t="s" s="17">
        <v>3689</v>
      </c>
      <c r="E953" t="s" s="17">
        <v>3690</v>
      </c>
      <c r="F953" s="18"/>
      <c r="G953" s="19">
        <v>2</v>
      </c>
      <c r="H953" t="s" s="20">
        <v>25</v>
      </c>
      <c r="I953" t="s" s="17">
        <v>26</v>
      </c>
      <c r="J953" t="s" s="17">
        <v>127</v>
      </c>
      <c r="K953" s="18"/>
      <c r="L953" s="18"/>
      <c r="M953" s="18"/>
      <c r="N953" s="18"/>
      <c r="O953" s="21"/>
      <c r="P953" s="21"/>
      <c r="Q953" s="21"/>
      <c r="R953" s="21"/>
      <c r="S953" s="21"/>
      <c r="T953" s="21"/>
    </row>
    <row r="954" ht="30" customHeight="1">
      <c r="A954" t="s" s="15">
        <v>3691</v>
      </c>
      <c r="B954" s="16">
        <v>2016</v>
      </c>
      <c r="C954" t="s" s="15">
        <v>3692</v>
      </c>
      <c r="D954" t="s" s="17">
        <v>3693</v>
      </c>
      <c r="E954" s="18"/>
      <c r="F954" s="18"/>
      <c r="G954" s="19">
        <v>3</v>
      </c>
      <c r="H954" t="s" s="20">
        <v>46</v>
      </c>
      <c r="I954" t="s" s="17">
        <v>42</v>
      </c>
      <c r="J954" t="s" s="17">
        <v>93</v>
      </c>
      <c r="K954" t="s" s="17">
        <v>262</v>
      </c>
      <c r="L954" s="18"/>
      <c r="M954" s="18"/>
      <c r="N954" s="18"/>
      <c r="O954" s="21"/>
      <c r="P954" s="21"/>
      <c r="Q954" s="21"/>
      <c r="R954" s="21"/>
      <c r="S954" s="21"/>
      <c r="T954" s="21"/>
    </row>
    <row r="955" ht="30" customHeight="1">
      <c r="A955" t="s" s="15">
        <v>3694</v>
      </c>
      <c r="B955" s="16">
        <v>2009</v>
      </c>
      <c r="C955" t="s" s="15">
        <v>3695</v>
      </c>
      <c r="D955" t="s" s="17">
        <v>3696</v>
      </c>
      <c r="E955" t="s" s="17">
        <v>3697</v>
      </c>
      <c r="F955" s="18"/>
      <c r="G955" s="19">
        <v>2</v>
      </c>
      <c r="H955" t="s" s="20">
        <v>25</v>
      </c>
      <c r="I955" t="s" s="17">
        <v>26</v>
      </c>
      <c r="J955" t="s" s="17">
        <v>31</v>
      </c>
      <c r="K955" s="18"/>
      <c r="L955" s="18"/>
      <c r="M955" s="18"/>
      <c r="N955" s="18"/>
      <c r="O955" s="21"/>
      <c r="P955" s="21"/>
      <c r="Q955" s="21"/>
      <c r="R955" s="21"/>
      <c r="S955" s="21"/>
      <c r="T955" s="21"/>
    </row>
    <row r="956" ht="26.55" customHeight="1">
      <c r="A956" t="s" s="15">
        <v>3698</v>
      </c>
      <c r="B956" s="16">
        <v>2011</v>
      </c>
      <c r="C956" t="s" s="15">
        <v>3699</v>
      </c>
      <c r="D956" t="s" s="17">
        <v>3700</v>
      </c>
      <c r="E956" t="s" s="17">
        <v>3701</v>
      </c>
      <c r="F956" s="18"/>
      <c r="G956" s="19">
        <v>2</v>
      </c>
      <c r="H956" t="s" s="20">
        <v>25</v>
      </c>
      <c r="I956" t="s" s="17">
        <v>26</v>
      </c>
      <c r="J956" t="s" s="17">
        <v>178</v>
      </c>
      <c r="K956" s="18"/>
      <c r="L956" s="18"/>
      <c r="M956" s="18"/>
      <c r="N956" s="18"/>
      <c r="O956" s="21"/>
      <c r="P956" s="21"/>
      <c r="Q956" s="21"/>
      <c r="R956" s="21"/>
      <c r="S956" s="21"/>
      <c r="T956" s="21"/>
    </row>
    <row r="957" ht="30" customHeight="1">
      <c r="A957" t="s" s="15">
        <v>3702</v>
      </c>
      <c r="B957" s="16">
        <v>2013</v>
      </c>
      <c r="C957" t="s" s="15">
        <v>3703</v>
      </c>
      <c r="D957" t="s" s="17">
        <v>3704</v>
      </c>
      <c r="E957" t="s" s="17">
        <v>3705</v>
      </c>
      <c r="F957" s="18"/>
      <c r="G957" s="19">
        <v>2</v>
      </c>
      <c r="H957" t="s" s="20">
        <v>25</v>
      </c>
      <c r="I957" t="s" s="17">
        <v>42</v>
      </c>
      <c r="J957" s="18"/>
      <c r="K957" t="s" s="17">
        <v>43</v>
      </c>
      <c r="L957" t="s" s="17">
        <v>26</v>
      </c>
      <c r="M957" s="18"/>
      <c r="N957" t="s" s="17">
        <v>391</v>
      </c>
      <c r="O957" t="s" s="20">
        <v>3706</v>
      </c>
      <c r="P957" s="21"/>
      <c r="Q957" s="21"/>
      <c r="R957" s="21"/>
      <c r="S957" s="21"/>
      <c r="T957" s="21"/>
    </row>
    <row r="958" ht="30" customHeight="1">
      <c r="A958" t="s" s="15">
        <v>3707</v>
      </c>
      <c r="B958" s="16">
        <v>2019</v>
      </c>
      <c r="C958" t="s" s="15">
        <v>3708</v>
      </c>
      <c r="D958" t="s" s="17">
        <v>3709</v>
      </c>
      <c r="E958" t="s" s="17">
        <v>3710</v>
      </c>
      <c r="F958" s="18"/>
      <c r="G958" s="19">
        <v>3</v>
      </c>
      <c r="H958" t="s" s="20">
        <v>46</v>
      </c>
      <c r="I958" t="s" s="17">
        <v>26</v>
      </c>
      <c r="J958" t="s" s="17">
        <v>31</v>
      </c>
      <c r="K958" s="18"/>
      <c r="L958" s="18"/>
      <c r="M958" s="18"/>
      <c r="N958" s="18"/>
      <c r="O958" s="21"/>
      <c r="P958" s="21"/>
      <c r="Q958" s="21"/>
      <c r="R958" s="21"/>
      <c r="S958" s="21"/>
      <c r="T958" s="21"/>
    </row>
    <row r="959" ht="39.55" customHeight="1">
      <c r="A959" t="s" s="15">
        <v>3711</v>
      </c>
      <c r="B959" s="16">
        <v>2010</v>
      </c>
      <c r="C959" t="s" s="15">
        <v>3712</v>
      </c>
      <c r="D959" t="s" s="17">
        <v>3713</v>
      </c>
      <c r="E959" t="s" s="17">
        <v>3714</v>
      </c>
      <c r="F959" s="18"/>
      <c r="G959" s="19">
        <v>3</v>
      </c>
      <c r="H959" t="s" s="20">
        <v>46</v>
      </c>
      <c r="I959" t="s" s="17">
        <v>26</v>
      </c>
      <c r="J959" t="s" s="17">
        <v>31</v>
      </c>
      <c r="K959" s="18"/>
      <c r="L959" s="18"/>
      <c r="M959" s="18"/>
      <c r="N959" s="18"/>
      <c r="O959" s="21"/>
      <c r="P959" s="21"/>
      <c r="Q959" s="21"/>
      <c r="R959" s="21"/>
      <c r="S959" s="21"/>
      <c r="T959" s="21"/>
    </row>
    <row r="960" ht="45" customHeight="1">
      <c r="A960" t="s" s="15">
        <v>3715</v>
      </c>
      <c r="B960" s="16">
        <v>2011</v>
      </c>
      <c r="C960" t="s" s="15">
        <v>3712</v>
      </c>
      <c r="D960" t="s" s="17">
        <v>3716</v>
      </c>
      <c r="E960" t="s" s="17">
        <v>3717</v>
      </c>
      <c r="F960" s="18"/>
      <c r="G960" s="19">
        <v>2</v>
      </c>
      <c r="H960" t="s" s="20">
        <v>25</v>
      </c>
      <c r="I960" t="s" s="17">
        <v>26</v>
      </c>
      <c r="J960" t="s" s="17">
        <v>102</v>
      </c>
      <c r="K960" s="18"/>
      <c r="L960" s="18"/>
      <c r="M960" s="18"/>
      <c r="N960" s="18"/>
      <c r="O960" s="21"/>
      <c r="P960" s="21"/>
      <c r="Q960" s="21"/>
      <c r="R960" s="21"/>
      <c r="S960" s="21"/>
      <c r="T960" s="21"/>
    </row>
    <row r="961" ht="30" customHeight="1">
      <c r="A961" t="s" s="15">
        <v>3718</v>
      </c>
      <c r="B961" s="16">
        <v>2015</v>
      </c>
      <c r="C961" t="s" s="15">
        <v>3712</v>
      </c>
      <c r="D961" t="s" s="17">
        <v>3719</v>
      </c>
      <c r="E961" t="s" s="17">
        <v>3720</v>
      </c>
      <c r="F961" s="18"/>
      <c r="G961" s="19">
        <v>2</v>
      </c>
      <c r="H961" t="s" s="20">
        <v>25</v>
      </c>
      <c r="I961" t="s" s="17">
        <v>26</v>
      </c>
      <c r="J961" t="s" s="17">
        <v>630</v>
      </c>
      <c r="K961" s="18"/>
      <c r="L961" s="18"/>
      <c r="M961" s="18"/>
      <c r="N961" s="18"/>
      <c r="O961" s="21"/>
      <c r="P961" s="21"/>
      <c r="Q961" s="21"/>
      <c r="R961" s="21"/>
      <c r="S961" s="21"/>
      <c r="T961" s="21"/>
    </row>
    <row r="962" ht="30" customHeight="1">
      <c r="A962" t="s" s="15">
        <v>3721</v>
      </c>
      <c r="B962" s="16">
        <v>2018</v>
      </c>
      <c r="C962" t="s" s="15">
        <v>3712</v>
      </c>
      <c r="D962" t="s" s="17">
        <v>3722</v>
      </c>
      <c r="E962" t="s" s="17">
        <v>3723</v>
      </c>
      <c r="F962" s="18"/>
      <c r="G962" s="19">
        <v>2</v>
      </c>
      <c r="H962" t="s" s="20">
        <v>25</v>
      </c>
      <c r="I962" t="s" s="17">
        <v>26</v>
      </c>
      <c r="J962" t="s" s="17">
        <v>178</v>
      </c>
      <c r="K962" t="s" s="17">
        <v>586</v>
      </c>
      <c r="L962" s="18"/>
      <c r="M962" s="18"/>
      <c r="N962" s="18"/>
      <c r="O962" s="21"/>
      <c r="P962" s="21"/>
      <c r="Q962" s="21"/>
      <c r="R962" s="21"/>
      <c r="S962" s="21"/>
      <c r="T962" s="21"/>
    </row>
    <row r="963" ht="30" customHeight="1">
      <c r="A963" t="s" s="15">
        <v>3724</v>
      </c>
      <c r="B963" s="16">
        <v>2021</v>
      </c>
      <c r="C963" t="s" s="15">
        <v>3712</v>
      </c>
      <c r="D963" t="s" s="17">
        <v>3725</v>
      </c>
      <c r="E963" t="s" s="17">
        <v>3726</v>
      </c>
      <c r="F963" s="18"/>
      <c r="G963" s="19">
        <v>2</v>
      </c>
      <c r="H963" t="s" s="20">
        <v>25</v>
      </c>
      <c r="I963" t="s" s="17">
        <v>26</v>
      </c>
      <c r="J963" t="s" s="17">
        <v>885</v>
      </c>
      <c r="K963" t="s" s="17">
        <v>886</v>
      </c>
      <c r="L963" s="18"/>
      <c r="M963" s="18"/>
      <c r="N963" s="18"/>
      <c r="O963" s="21"/>
      <c r="P963" s="21"/>
      <c r="Q963" s="21"/>
      <c r="R963" s="21"/>
      <c r="S963" s="21"/>
      <c r="T963" s="21"/>
    </row>
    <row r="964" ht="45" customHeight="1">
      <c r="A964" t="s" s="15">
        <v>3727</v>
      </c>
      <c r="B964" s="16">
        <v>2022</v>
      </c>
      <c r="C964" t="s" s="15">
        <v>3712</v>
      </c>
      <c r="D964" t="s" s="17">
        <v>3728</v>
      </c>
      <c r="E964" t="s" s="17">
        <v>3729</v>
      </c>
      <c r="F964" s="18"/>
      <c r="G964" s="19">
        <v>2</v>
      </c>
      <c r="H964" t="s" s="20">
        <v>25</v>
      </c>
      <c r="I964" t="s" s="17">
        <v>26</v>
      </c>
      <c r="J964" t="s" s="17">
        <v>608</v>
      </c>
      <c r="K964" s="18"/>
      <c r="L964" s="18"/>
      <c r="M964" s="18"/>
      <c r="N964" s="18"/>
      <c r="O964" s="21"/>
      <c r="P964" s="21"/>
      <c r="Q964" s="21"/>
      <c r="R964" s="21"/>
      <c r="S964" s="21"/>
      <c r="T964" s="21"/>
    </row>
    <row r="965" ht="45" customHeight="1">
      <c r="A965" t="s" s="15">
        <v>3730</v>
      </c>
      <c r="B965" s="16">
        <v>2022</v>
      </c>
      <c r="C965" t="s" s="15">
        <v>3712</v>
      </c>
      <c r="D965" t="s" s="17">
        <v>3728</v>
      </c>
      <c r="E965" t="s" s="17">
        <v>3731</v>
      </c>
      <c r="F965" s="18"/>
      <c r="G965" s="19">
        <v>3</v>
      </c>
      <c r="H965" t="s" s="20">
        <v>46</v>
      </c>
      <c r="I965" t="s" s="17">
        <v>26</v>
      </c>
      <c r="J965" t="s" s="17">
        <v>31</v>
      </c>
      <c r="K965" t="s" s="17">
        <v>572</v>
      </c>
      <c r="L965" s="18"/>
      <c r="M965" s="18"/>
      <c r="N965" s="18"/>
      <c r="O965" s="21"/>
      <c r="P965" s="21"/>
      <c r="Q965" s="21"/>
      <c r="R965" s="21"/>
      <c r="S965" s="21"/>
      <c r="T965" s="21"/>
    </row>
    <row r="966" ht="30" customHeight="1">
      <c r="A966" t="s" s="15">
        <v>3732</v>
      </c>
      <c r="B966" s="16">
        <v>2020</v>
      </c>
      <c r="C966" t="s" s="15">
        <v>3733</v>
      </c>
      <c r="D966" t="s" s="17">
        <v>3734</v>
      </c>
      <c r="E966" t="s" s="17">
        <v>3735</v>
      </c>
      <c r="F966" s="18"/>
      <c r="G966" s="19">
        <v>2</v>
      </c>
      <c r="H966" t="s" s="20">
        <v>25</v>
      </c>
      <c r="I966" t="s" s="17">
        <v>26</v>
      </c>
      <c r="J966" t="s" s="17">
        <v>27</v>
      </c>
      <c r="K966" s="18"/>
      <c r="L966" s="18"/>
      <c r="M966" s="18"/>
      <c r="N966" s="18"/>
      <c r="O966" s="21"/>
      <c r="P966" s="21"/>
      <c r="Q966" s="21"/>
      <c r="R966" s="21"/>
      <c r="S966" s="21"/>
      <c r="T966" s="21"/>
    </row>
    <row r="967" ht="60" customHeight="1">
      <c r="A967" t="s" s="15">
        <v>3736</v>
      </c>
      <c r="B967" s="16">
        <v>2021</v>
      </c>
      <c r="C967" t="s" s="15">
        <v>3733</v>
      </c>
      <c r="D967" t="s" s="17">
        <v>3737</v>
      </c>
      <c r="E967" t="s" s="17">
        <v>3738</v>
      </c>
      <c r="F967" s="18"/>
      <c r="G967" s="19">
        <v>2</v>
      </c>
      <c r="H967" t="s" s="20">
        <v>25</v>
      </c>
      <c r="I967" t="s" s="17">
        <v>26</v>
      </c>
      <c r="J967" t="s" s="17">
        <v>436</v>
      </c>
      <c r="K967" s="18"/>
      <c r="L967" s="18"/>
      <c r="M967" s="18"/>
      <c r="N967" s="18"/>
      <c r="O967" s="21"/>
      <c r="P967" s="21"/>
      <c r="Q967" s="21"/>
      <c r="R967" s="21"/>
      <c r="S967" s="21"/>
      <c r="T967" s="21"/>
    </row>
    <row r="968" ht="30" customHeight="1">
      <c r="A968" t="s" s="15">
        <v>3739</v>
      </c>
      <c r="B968" s="16">
        <v>2019</v>
      </c>
      <c r="C968" t="s" s="15">
        <v>3740</v>
      </c>
      <c r="D968" t="s" s="17">
        <v>3741</v>
      </c>
      <c r="E968" t="s" s="17">
        <v>3742</v>
      </c>
      <c r="F968" s="18"/>
      <c r="G968" s="19">
        <v>2</v>
      </c>
      <c r="H968" t="s" s="20">
        <v>25</v>
      </c>
      <c r="I968" t="s" s="17">
        <v>26</v>
      </c>
      <c r="J968" t="s" s="17">
        <v>102</v>
      </c>
      <c r="K968" s="18"/>
      <c r="L968" s="18"/>
      <c r="M968" s="18"/>
      <c r="N968" s="18"/>
      <c r="O968" s="21"/>
      <c r="P968" s="21"/>
      <c r="Q968" s="21"/>
      <c r="R968" s="21"/>
      <c r="S968" s="21"/>
      <c r="T968" s="21"/>
    </row>
    <row r="969" ht="30" customHeight="1">
      <c r="A969" t="s" s="15">
        <v>3743</v>
      </c>
      <c r="B969" s="16">
        <v>2015</v>
      </c>
      <c r="C969" t="s" s="15">
        <v>3744</v>
      </c>
      <c r="D969" t="s" s="17">
        <v>3745</v>
      </c>
      <c r="E969" t="s" s="17">
        <v>3746</v>
      </c>
      <c r="F969" s="18"/>
      <c r="G969" s="19">
        <v>2</v>
      </c>
      <c r="H969" t="s" s="20">
        <v>25</v>
      </c>
      <c r="I969" t="s" s="17">
        <v>26</v>
      </c>
      <c r="J969" t="s" s="17">
        <v>31</v>
      </c>
      <c r="K969" s="18"/>
      <c r="L969" s="18"/>
      <c r="M969" s="18"/>
      <c r="N969" s="18"/>
      <c r="O969" s="21"/>
      <c r="P969" s="21"/>
      <c r="Q969" s="21"/>
      <c r="R969" s="21"/>
      <c r="S969" s="21"/>
      <c r="T969" s="21"/>
    </row>
    <row r="970" ht="30" customHeight="1">
      <c r="A970" t="s" s="15">
        <v>3747</v>
      </c>
      <c r="B970" s="16">
        <v>2019</v>
      </c>
      <c r="C970" t="s" s="15">
        <v>3748</v>
      </c>
      <c r="D970" t="s" s="17">
        <v>3749</v>
      </c>
      <c r="E970" t="s" s="17">
        <v>3750</v>
      </c>
      <c r="F970" s="18"/>
      <c r="G970" s="19">
        <v>3</v>
      </c>
      <c r="H970" t="s" s="20">
        <v>46</v>
      </c>
      <c r="I970" t="s" s="17">
        <v>26</v>
      </c>
      <c r="J970" t="s" s="17">
        <v>93</v>
      </c>
      <c r="K970" t="s" s="17">
        <v>262</v>
      </c>
      <c r="L970" s="18"/>
      <c r="M970" s="18"/>
      <c r="N970" s="18"/>
      <c r="O970" s="21"/>
      <c r="P970" s="21"/>
      <c r="Q970" s="21"/>
      <c r="R970" s="21"/>
      <c r="S970" s="21"/>
      <c r="T970" s="21"/>
    </row>
    <row r="971" ht="30" customHeight="1">
      <c r="A971" t="s" s="15">
        <v>3751</v>
      </c>
      <c r="B971" s="16">
        <v>2020</v>
      </c>
      <c r="C971" t="s" s="15">
        <v>3748</v>
      </c>
      <c r="D971" t="s" s="17">
        <v>3752</v>
      </c>
      <c r="E971" t="s" s="17">
        <v>3753</v>
      </c>
      <c r="F971" s="18"/>
      <c r="G971" s="19">
        <v>3</v>
      </c>
      <c r="H971" t="s" s="20">
        <v>46</v>
      </c>
      <c r="I971" t="s" s="17">
        <v>42</v>
      </c>
      <c r="J971" s="18"/>
      <c r="K971" t="s" s="17">
        <v>43</v>
      </c>
      <c r="L971" t="s" s="17">
        <v>42</v>
      </c>
      <c r="M971" t="s" s="17">
        <v>44</v>
      </c>
      <c r="N971" s="18"/>
      <c r="O971" s="21"/>
      <c r="P971" t="s" s="20">
        <v>46</v>
      </c>
      <c r="Q971" t="s" s="20">
        <v>47</v>
      </c>
      <c r="R971" t="s" s="20">
        <v>3754</v>
      </c>
      <c r="S971" t="s" s="20">
        <v>47</v>
      </c>
      <c r="T971" s="21"/>
    </row>
    <row r="972" ht="30" customHeight="1">
      <c r="A972" t="s" s="15">
        <v>3755</v>
      </c>
      <c r="B972" s="16">
        <v>2021</v>
      </c>
      <c r="C972" t="s" s="15">
        <v>3748</v>
      </c>
      <c r="D972" t="s" s="17">
        <v>3756</v>
      </c>
      <c r="E972" t="s" s="17">
        <v>3757</v>
      </c>
      <c r="F972" s="18"/>
      <c r="G972" s="19">
        <v>3</v>
      </c>
      <c r="H972" t="s" s="20">
        <v>46</v>
      </c>
      <c r="I972" t="s" s="17">
        <v>26</v>
      </c>
      <c r="J972" t="s" s="17">
        <v>131</v>
      </c>
      <c r="K972" t="s" s="17">
        <v>262</v>
      </c>
      <c r="L972" s="18"/>
      <c r="M972" s="18"/>
      <c r="N972" s="18"/>
      <c r="O972" s="21"/>
      <c r="P972" s="21"/>
      <c r="Q972" s="21"/>
      <c r="R972" s="21"/>
      <c r="S972" s="21"/>
      <c r="T972" s="21"/>
    </row>
    <row r="973" ht="39.55" customHeight="1">
      <c r="A973" t="s" s="15">
        <v>3758</v>
      </c>
      <c r="B973" s="16">
        <v>2023</v>
      </c>
      <c r="C973" t="s" s="15">
        <v>3748</v>
      </c>
      <c r="D973" t="s" s="17">
        <v>3759</v>
      </c>
      <c r="E973" t="s" s="17">
        <v>3760</v>
      </c>
      <c r="F973" s="18"/>
      <c r="G973" s="19">
        <v>2</v>
      </c>
      <c r="H973" t="s" s="20">
        <v>25</v>
      </c>
      <c r="I973" t="s" s="17">
        <v>26</v>
      </c>
      <c r="J973" t="s" s="17">
        <v>102</v>
      </c>
      <c r="K973" s="18"/>
      <c r="L973" s="18"/>
      <c r="M973" s="18"/>
      <c r="N973" s="18"/>
      <c r="O973" s="21"/>
      <c r="P973" s="21"/>
      <c r="Q973" s="21"/>
      <c r="R973" s="21"/>
      <c r="S973" s="21"/>
      <c r="T973" s="21"/>
    </row>
    <row r="974" ht="30" customHeight="1">
      <c r="A974" t="s" s="15">
        <v>3761</v>
      </c>
      <c r="B974" s="16">
        <v>2022</v>
      </c>
      <c r="C974" t="s" s="15">
        <v>3762</v>
      </c>
      <c r="D974" t="s" s="17">
        <v>3763</v>
      </c>
      <c r="E974" t="s" s="17">
        <v>3764</v>
      </c>
      <c r="F974" s="18"/>
      <c r="G974" s="19">
        <v>2</v>
      </c>
      <c r="H974" t="s" s="20">
        <v>25</v>
      </c>
      <c r="I974" t="s" s="17">
        <v>26</v>
      </c>
      <c r="J974" t="s" s="17">
        <v>93</v>
      </c>
      <c r="K974" s="18"/>
      <c r="L974" s="18"/>
      <c r="M974" s="18"/>
      <c r="N974" s="18"/>
      <c r="O974" s="21"/>
      <c r="P974" s="21"/>
      <c r="Q974" s="21"/>
      <c r="R974" s="21"/>
      <c r="S974" s="21"/>
      <c r="T974" s="21"/>
    </row>
    <row r="975" ht="26.55" customHeight="1">
      <c r="A975" t="s" s="15">
        <v>3765</v>
      </c>
      <c r="B975" s="16">
        <v>2022</v>
      </c>
      <c r="C975" t="s" s="15">
        <v>3766</v>
      </c>
      <c r="D975" t="s" s="17">
        <v>3767</v>
      </c>
      <c r="E975" t="s" s="17">
        <v>3768</v>
      </c>
      <c r="F975" s="18"/>
      <c r="G975" s="19">
        <v>2</v>
      </c>
      <c r="H975" t="s" s="20">
        <v>25</v>
      </c>
      <c r="I975" t="s" s="17">
        <v>26</v>
      </c>
      <c r="J975" t="s" s="17">
        <v>27</v>
      </c>
      <c r="K975" s="18"/>
      <c r="L975" s="18"/>
      <c r="M975" s="18"/>
      <c r="N975" s="18"/>
      <c r="O975" s="21"/>
      <c r="P975" s="21"/>
      <c r="Q975" s="21"/>
      <c r="R975" s="21"/>
      <c r="S975" s="21"/>
      <c r="T975" s="21"/>
    </row>
    <row r="976" ht="45" customHeight="1">
      <c r="A976" t="s" s="15">
        <v>3769</v>
      </c>
      <c r="B976" s="16">
        <v>2020</v>
      </c>
      <c r="C976" t="s" s="15">
        <v>3770</v>
      </c>
      <c r="D976" t="s" s="17">
        <v>3771</v>
      </c>
      <c r="E976" t="s" s="17">
        <v>3772</v>
      </c>
      <c r="F976" s="18"/>
      <c r="G976" s="19">
        <v>3</v>
      </c>
      <c r="H976" t="s" s="20">
        <v>46</v>
      </c>
      <c r="I976" t="s" s="17">
        <v>26</v>
      </c>
      <c r="J976" t="s" s="17">
        <v>31</v>
      </c>
      <c r="K976" t="s" s="17">
        <v>262</v>
      </c>
      <c r="L976" s="18"/>
      <c r="M976" s="18"/>
      <c r="N976" s="18"/>
      <c r="O976" s="21"/>
      <c r="P976" s="21"/>
      <c r="Q976" s="21"/>
      <c r="R976" s="21"/>
      <c r="S976" s="21"/>
      <c r="T976" s="21"/>
    </row>
    <row r="977" ht="13.55" customHeight="1">
      <c r="A977" s="24"/>
      <c r="B977" s="24"/>
      <c r="C977" s="24"/>
      <c r="D977" s="25"/>
      <c r="E977" s="25"/>
      <c r="F977" s="25"/>
      <c r="G977" s="25"/>
      <c r="H977" s="26"/>
      <c r="I977" s="25"/>
      <c r="J977" s="25"/>
      <c r="K977" s="25"/>
      <c r="L977" s="25"/>
      <c r="M977" s="27"/>
      <c r="N977" s="25"/>
      <c r="O977" s="26"/>
      <c r="P977" s="26"/>
      <c r="Q977" s="26"/>
      <c r="R977" s="26"/>
      <c r="S977" s="26"/>
      <c r="T977" s="26"/>
    </row>
    <row r="978" ht="13.55" customHeight="1">
      <c r="A978" s="28"/>
      <c r="B978" s="28"/>
      <c r="C978" s="28"/>
      <c r="D978" s="29"/>
      <c r="E978" s="29"/>
      <c r="F978" s="29"/>
      <c r="G978" s="29"/>
      <c r="H978" s="30"/>
      <c r="I978" s="29"/>
      <c r="J978" s="29"/>
      <c r="K978" s="29"/>
      <c r="L978" s="31"/>
      <c r="M978" s="18"/>
      <c r="N978" s="32"/>
      <c r="O978" s="30"/>
      <c r="P978" s="30"/>
      <c r="Q978" s="30"/>
      <c r="R978" s="30"/>
      <c r="S978" s="30"/>
      <c r="T978" s="30"/>
    </row>
  </sheetData>
  <mergeCells count="4">
    <mergeCell ref="Q1:T1"/>
    <mergeCell ref="G1:K1"/>
    <mergeCell ref="L1:O1"/>
    <mergeCell ref="D1:F1"/>
  </mergeCells>
  <conditionalFormatting sqref="I1:I978">
    <cfRule type="containsText" dxfId="0" priority="1" stopIfTrue="1" text="Included">
      <formula>NOT(ISERROR(FIND(UPPER("Included"),UPPER(I1))))</formula>
      <formula>"Included"</formula>
    </cfRule>
    <cfRule type="cellIs" dxfId="1" priority="2" operator="equal" stopIfTrue="1">
      <formula>"Excluded"</formula>
    </cfRule>
  </conditionalFormatting>
  <conditionalFormatting sqref="L1:M978">
    <cfRule type="cellIs" dxfId="2" priority="1" operator="equal" stopIfTrue="1">
      <formula>"Included"</formula>
    </cfRule>
    <cfRule type="cellIs" dxfId="3" priority="2" operator="equal" stopIfTrue="1">
      <formula>"Excluded"</formula>
    </cfRule>
  </conditionalFormatting>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AI136"/>
  <sheetViews>
    <sheetView workbookViewId="0" showGridLines="0" defaultGridColor="1">
      <pane topLeftCell="B3" xSplit="1" ySplit="2" activePane="bottomRight" state="frozen"/>
    </sheetView>
  </sheetViews>
  <sheetFormatPr defaultColWidth="11.5" defaultRowHeight="15" customHeight="1" outlineLevelRow="0" outlineLevelCol="0"/>
  <cols>
    <col min="1" max="1" width="19" style="33" customWidth="1"/>
    <col min="2" max="2" width="27" style="33" customWidth="1"/>
    <col min="3" max="3" width="29.5" style="33" customWidth="1"/>
    <col min="4" max="4" width="17.5" style="33" customWidth="1"/>
    <col min="5" max="5" width="13.5" style="33" customWidth="1"/>
    <col min="6" max="8" width="18.5" style="33" customWidth="1"/>
    <col min="9" max="9" width="12.6719" style="33" customWidth="1"/>
    <col min="10" max="10" width="11.5" style="33" customWidth="1"/>
    <col min="11" max="11" width="14.5" style="33" customWidth="1"/>
    <col min="12" max="12" width="18" style="33" customWidth="1"/>
    <col min="13" max="13" width="11.5" style="33" customWidth="1"/>
    <col min="14" max="14" width="19.8516" style="33" customWidth="1"/>
    <col min="15" max="15" width="11.5" style="33" customWidth="1"/>
    <col min="16" max="16" width="16.1719" style="33" customWidth="1"/>
    <col min="17" max="17" width="16.5" style="33" customWidth="1"/>
    <col min="18" max="18" width="11.5" style="33" customWidth="1"/>
    <col min="19" max="19" width="18.5" style="33" customWidth="1"/>
    <col min="20" max="20" width="11.5" style="33" customWidth="1"/>
    <col min="21" max="21" width="14.1719" style="33" customWidth="1"/>
    <col min="22" max="22" width="19.3516" style="33" customWidth="1"/>
    <col min="23" max="23" width="14.1719" style="33" customWidth="1"/>
    <col min="24" max="24" width="11.5" style="33" customWidth="1"/>
    <col min="25" max="26" width="12.8516" style="33" customWidth="1"/>
    <col min="27" max="28" width="11.5" style="33" customWidth="1"/>
    <col min="29" max="29" width="23.5" style="33" customWidth="1"/>
    <col min="30" max="31" width="17" style="33" customWidth="1"/>
    <col min="32" max="32" width="34.3516" style="33" customWidth="1"/>
    <col min="33" max="33" width="1.5" style="33" customWidth="1"/>
    <col min="34" max="34" width="30.7266" style="33" customWidth="1"/>
    <col min="35" max="35" width="16.5547" style="33" customWidth="1"/>
    <col min="36" max="16384" width="11.5" style="33" customWidth="1"/>
  </cols>
  <sheetData>
    <row r="1" ht="21" customHeight="1">
      <c r="A1" s="34"/>
      <c r="B1" t="s" s="35">
        <v>3773</v>
      </c>
      <c r="C1" s="36"/>
      <c r="D1" s="36"/>
      <c r="E1" s="36"/>
      <c r="F1" s="36"/>
      <c r="G1" s="36"/>
      <c r="H1" s="36"/>
      <c r="I1" s="36"/>
      <c r="J1" t="s" s="37">
        <v>3774</v>
      </c>
      <c r="K1" s="38"/>
      <c r="L1" s="38"/>
      <c r="M1" s="38"/>
      <c r="N1" s="38"/>
      <c r="O1" t="s" s="39">
        <v>3775</v>
      </c>
      <c r="P1" s="36"/>
      <c r="Q1" s="36"/>
      <c r="R1" s="36"/>
      <c r="S1" s="36"/>
      <c r="T1" s="36"/>
      <c r="U1" t="s" s="40">
        <v>3776</v>
      </c>
      <c r="V1" s="41"/>
      <c r="W1" s="41"/>
      <c r="X1" s="41"/>
      <c r="Y1" s="41"/>
      <c r="Z1" s="41"/>
      <c r="AA1" s="41"/>
      <c r="AB1" s="41"/>
      <c r="AC1" s="41"/>
      <c r="AD1" s="41"/>
      <c r="AE1" s="41"/>
      <c r="AF1" s="42"/>
      <c r="AG1" s="43"/>
      <c r="AH1" t="s" s="44">
        <v>3777</v>
      </c>
      <c r="AI1" s="45"/>
    </row>
    <row r="2" ht="135" customHeight="1">
      <c r="A2" t="s" s="46">
        <v>3778</v>
      </c>
      <c r="B2" t="s" s="47">
        <v>3779</v>
      </c>
      <c r="C2" t="s" s="47">
        <v>3780</v>
      </c>
      <c r="D2" t="s" s="47">
        <v>3781</v>
      </c>
      <c r="E2" t="s" s="47">
        <v>3782</v>
      </c>
      <c r="F2" t="s" s="47">
        <v>3783</v>
      </c>
      <c r="G2" t="s" s="47">
        <v>3784</v>
      </c>
      <c r="H2" t="s" s="47">
        <v>3785</v>
      </c>
      <c r="I2" t="s" s="47">
        <v>3786</v>
      </c>
      <c r="J2" t="s" s="47">
        <v>3787</v>
      </c>
      <c r="K2" t="s" s="47">
        <v>3788</v>
      </c>
      <c r="L2" t="s" s="47">
        <v>3789</v>
      </c>
      <c r="M2" t="s" s="48">
        <v>3788</v>
      </c>
      <c r="N2" t="s" s="48">
        <v>3790</v>
      </c>
      <c r="O2" t="s" s="47">
        <v>3791</v>
      </c>
      <c r="P2" t="s" s="47">
        <v>3792</v>
      </c>
      <c r="Q2" t="s" s="47">
        <v>3793</v>
      </c>
      <c r="R2" t="s" s="48">
        <v>3794</v>
      </c>
      <c r="S2" t="s" s="48">
        <v>3795</v>
      </c>
      <c r="T2" t="s" s="48">
        <v>3796</v>
      </c>
      <c r="U2" t="s" s="47">
        <v>3797</v>
      </c>
      <c r="V2" t="s" s="47">
        <v>3798</v>
      </c>
      <c r="W2" t="s" s="49">
        <v>3799</v>
      </c>
      <c r="X2" t="s" s="49">
        <v>3800</v>
      </c>
      <c r="Y2" t="s" s="49">
        <v>3801</v>
      </c>
      <c r="Z2" t="s" s="49">
        <v>3802</v>
      </c>
      <c r="AA2" t="s" s="49">
        <v>3803</v>
      </c>
      <c r="AB2" t="s" s="49">
        <v>3804</v>
      </c>
      <c r="AC2" t="s" s="49">
        <v>3805</v>
      </c>
      <c r="AD2" t="s" s="50">
        <v>3806</v>
      </c>
      <c r="AE2" t="s" s="50">
        <v>3807</v>
      </c>
      <c r="AF2" t="s" s="47">
        <v>3808</v>
      </c>
      <c r="AG2" s="51"/>
      <c r="AH2" t="s" s="47">
        <v>3809</v>
      </c>
      <c r="AI2" t="s" s="47">
        <v>42</v>
      </c>
    </row>
    <row r="3" ht="60" customHeight="1">
      <c r="A3" t="s" s="46">
        <v>41</v>
      </c>
      <c r="B3" t="s" s="52">
        <v>3810</v>
      </c>
      <c r="C3" t="s" s="52">
        <v>3811</v>
      </c>
      <c r="D3" t="s" s="52">
        <v>3812</v>
      </c>
      <c r="E3" s="53"/>
      <c r="F3" t="s" s="52">
        <v>3813</v>
      </c>
      <c r="G3" t="s" s="52">
        <v>3814</v>
      </c>
      <c r="H3" t="s" s="52">
        <v>3815</v>
      </c>
      <c r="I3" s="54">
        <v>190</v>
      </c>
      <c r="J3" t="s" s="52">
        <v>3816</v>
      </c>
      <c r="K3" t="s" s="52">
        <v>3817</v>
      </c>
      <c r="L3" t="s" s="52">
        <v>3818</v>
      </c>
      <c r="M3" t="s" s="55">
        <v>3819</v>
      </c>
      <c r="N3" t="s" s="55">
        <v>3814</v>
      </c>
      <c r="O3" t="s" s="52">
        <v>3820</v>
      </c>
      <c r="P3" t="s" s="52">
        <v>3821</v>
      </c>
      <c r="Q3" s="53"/>
      <c r="R3" t="s" s="55">
        <v>3819</v>
      </c>
      <c r="S3" s="56">
        <v>6.72</v>
      </c>
      <c r="T3" t="s" s="55">
        <v>3822</v>
      </c>
      <c r="U3" s="53"/>
      <c r="V3" t="s" s="57">
        <v>3823</v>
      </c>
      <c r="W3" s="58"/>
      <c r="X3" s="59"/>
      <c r="Y3" s="60"/>
      <c r="Z3" s="60"/>
      <c r="AA3" s="61"/>
      <c r="AB3" s="58"/>
      <c r="AC3" s="59"/>
      <c r="AD3" s="62"/>
      <c r="AE3" s="62"/>
      <c r="AF3" s="53"/>
      <c r="AG3" s="63"/>
      <c r="AH3" t="s" s="52">
        <v>45</v>
      </c>
      <c r="AI3" s="53"/>
    </row>
    <row r="4" ht="30" customHeight="1">
      <c r="A4" t="s" s="46">
        <v>274</v>
      </c>
      <c r="B4" t="s" s="52">
        <v>3824</v>
      </c>
      <c r="C4" t="s" s="52">
        <v>3825</v>
      </c>
      <c r="D4" t="s" s="52">
        <v>3826</v>
      </c>
      <c r="E4" s="53"/>
      <c r="F4" t="s" s="52">
        <v>3827</v>
      </c>
      <c r="G4" t="s" s="52">
        <v>3828</v>
      </c>
      <c r="H4" t="s" s="52">
        <v>3829</v>
      </c>
      <c r="I4" s="54">
        <v>635</v>
      </c>
      <c r="J4" t="s" s="52">
        <v>3830</v>
      </c>
      <c r="K4" t="s" s="52">
        <v>3831</v>
      </c>
      <c r="L4" t="s" s="52">
        <v>3832</v>
      </c>
      <c r="M4" t="s" s="64">
        <v>3819</v>
      </c>
      <c r="N4" s="56">
        <v>107.1</v>
      </c>
      <c r="O4" t="s" s="52">
        <v>3820</v>
      </c>
      <c r="P4" t="s" s="52">
        <v>3821</v>
      </c>
      <c r="Q4" s="53"/>
      <c r="R4" t="s" s="55">
        <v>3833</v>
      </c>
      <c r="S4" s="56">
        <v>1.3</v>
      </c>
      <c r="T4" t="s" s="55">
        <v>3822</v>
      </c>
      <c r="U4" t="s" s="52">
        <v>3834</v>
      </c>
      <c r="V4" t="s" s="52">
        <v>3835</v>
      </c>
      <c r="W4" t="s" s="65">
        <v>3836</v>
      </c>
      <c r="X4" s="60">
        <v>-0.1</v>
      </c>
      <c r="Y4" s="60">
        <v>-1.8</v>
      </c>
      <c r="Z4" s="60">
        <v>1.6</v>
      </c>
      <c r="AA4" s="61">
        <v>0.95</v>
      </c>
      <c r="AB4" s="58"/>
      <c r="AC4" s="66" cm="1">
        <f t="array" ref="AC4">(Z4-Y4)/(3.92)</f>
        <v>0.8673469387755099</v>
      </c>
      <c r="AD4" s="67" cm="1">
        <f t="array" ref="AD4">X4-1.96*AC4</f>
        <v>-1.8</v>
      </c>
      <c r="AE4" s="67" cm="1">
        <f t="array" ref="AE4">X4+1.96*AC4</f>
        <v>1.6</v>
      </c>
      <c r="AF4" t="s" s="52">
        <v>3837</v>
      </c>
      <c r="AG4" s="63"/>
      <c r="AH4" s="53"/>
      <c r="AI4" t="s" s="52">
        <v>277</v>
      </c>
    </row>
    <row r="5" ht="75" customHeight="1">
      <c r="A5" t="s" s="46">
        <v>3838</v>
      </c>
      <c r="B5" t="s" s="68">
        <v>3839</v>
      </c>
      <c r="C5" t="s" s="52">
        <v>3840</v>
      </c>
      <c r="D5" t="s" s="52">
        <v>3841</v>
      </c>
      <c r="E5" s="53"/>
      <c r="F5" t="s" s="52">
        <v>3842</v>
      </c>
      <c r="G5" s="53"/>
      <c r="H5" t="s" s="52">
        <v>3815</v>
      </c>
      <c r="I5" s="53"/>
      <c r="J5" s="53"/>
      <c r="K5" t="s" s="52">
        <v>3843</v>
      </c>
      <c r="L5" s="53"/>
      <c r="M5" t="s" s="64">
        <v>3819</v>
      </c>
      <c r="N5" t="s" s="55">
        <v>3844</v>
      </c>
      <c r="O5" t="s" s="52">
        <v>3820</v>
      </c>
      <c r="P5" t="s" s="52">
        <v>3821</v>
      </c>
      <c r="Q5" s="53"/>
      <c r="R5" t="s" s="55">
        <v>3819</v>
      </c>
      <c r="S5" t="s" s="55">
        <v>3845</v>
      </c>
      <c r="T5" t="s" s="55">
        <v>3822</v>
      </c>
      <c r="U5" t="s" s="52">
        <v>3846</v>
      </c>
      <c r="V5" t="s" s="52">
        <v>3835</v>
      </c>
      <c r="W5" t="s" s="65">
        <v>3847</v>
      </c>
      <c r="X5" s="59" cm="1">
        <f t="array" ref="X5">-(1/0.354)</f>
        <v>-2.82485875706215</v>
      </c>
      <c r="Y5" s="60" cm="1">
        <f t="array" ref="Y5">-1/0.26</f>
        <v>-3.84615384615385</v>
      </c>
      <c r="Z5" s="60" cm="1">
        <f t="array" ref="Z5">X5+(X5-Y5)</f>
        <v>-1.80356366797045</v>
      </c>
      <c r="AA5" t="s" s="65">
        <v>3848</v>
      </c>
      <c r="AB5" s="69"/>
      <c r="AC5" s="66"/>
      <c r="AD5" s="67"/>
      <c r="AE5" s="67"/>
      <c r="AF5" t="s" s="52">
        <v>3849</v>
      </c>
      <c r="AG5" s="63"/>
      <c r="AH5" t="s" s="70">
        <v>1518</v>
      </c>
      <c r="AI5" s="53"/>
    </row>
    <row r="6" ht="75" customHeight="1">
      <c r="A6" t="s" s="46">
        <v>3838</v>
      </c>
      <c r="B6" t="s" s="68">
        <v>3839</v>
      </c>
      <c r="C6" t="s" s="52">
        <v>3840</v>
      </c>
      <c r="D6" t="s" s="52">
        <v>3841</v>
      </c>
      <c r="E6" s="53"/>
      <c r="F6" t="s" s="52">
        <v>3842</v>
      </c>
      <c r="G6" s="53"/>
      <c r="H6" t="s" s="52">
        <v>3815</v>
      </c>
      <c r="I6" s="53"/>
      <c r="J6" s="53"/>
      <c r="K6" t="s" s="52">
        <v>3843</v>
      </c>
      <c r="L6" s="53"/>
      <c r="M6" t="s" s="64">
        <v>3819</v>
      </c>
      <c r="N6" t="s" s="55">
        <v>3844</v>
      </c>
      <c r="O6" t="s" s="52">
        <v>3820</v>
      </c>
      <c r="P6" t="s" s="52">
        <v>3821</v>
      </c>
      <c r="Q6" s="53"/>
      <c r="R6" t="s" s="55">
        <v>3819</v>
      </c>
      <c r="S6" t="s" s="55">
        <v>3845</v>
      </c>
      <c r="T6" t="s" s="55">
        <v>3822</v>
      </c>
      <c r="U6" t="s" s="52">
        <v>3850</v>
      </c>
      <c r="V6" t="s" s="52">
        <v>3835</v>
      </c>
      <c r="W6" s="71">
        <v>1</v>
      </c>
      <c r="X6" s="59" cm="1">
        <f t="array" ref="X6">-1/5.581</f>
        <v>-0.179179358537896</v>
      </c>
      <c r="Y6" s="60" cm="1">
        <f t="array" ref="Y6">-1/4.054</f>
        <v>-0.246669955599408</v>
      </c>
      <c r="Z6" s="60" cm="1">
        <f t="array" ref="Z6">X6+(X6-Y6)</f>
        <v>-0.111688761476384</v>
      </c>
      <c r="AA6" t="s" s="65">
        <v>3848</v>
      </c>
      <c r="AB6" s="69"/>
      <c r="AC6" s="66"/>
      <c r="AD6" s="67"/>
      <c r="AE6" s="67"/>
      <c r="AF6" t="s" s="52">
        <v>3849</v>
      </c>
      <c r="AG6" s="63"/>
      <c r="AH6" t="s" s="70">
        <v>1518</v>
      </c>
      <c r="AI6" s="53"/>
    </row>
    <row r="7" ht="75" customHeight="1">
      <c r="A7" t="s" s="46">
        <v>3838</v>
      </c>
      <c r="B7" t="s" s="68">
        <v>3839</v>
      </c>
      <c r="C7" t="s" s="52">
        <v>3840</v>
      </c>
      <c r="D7" t="s" s="52">
        <v>3841</v>
      </c>
      <c r="E7" s="53"/>
      <c r="F7" t="s" s="52">
        <v>3842</v>
      </c>
      <c r="G7" s="53"/>
      <c r="H7" t="s" s="52">
        <v>3815</v>
      </c>
      <c r="I7" s="53"/>
      <c r="J7" s="53"/>
      <c r="K7" t="s" s="52">
        <v>3843</v>
      </c>
      <c r="L7" s="53"/>
      <c r="M7" t="s" s="64">
        <v>3819</v>
      </c>
      <c r="N7" t="s" s="55">
        <v>3844</v>
      </c>
      <c r="O7" t="s" s="52">
        <v>3820</v>
      </c>
      <c r="P7" t="s" s="52">
        <v>3851</v>
      </c>
      <c r="Q7" s="53"/>
      <c r="R7" t="s" s="55">
        <v>3819</v>
      </c>
      <c r="S7" t="s" s="55">
        <v>3852</v>
      </c>
      <c r="T7" t="s" s="55">
        <v>3822</v>
      </c>
      <c r="U7" t="s" s="52">
        <v>3846</v>
      </c>
      <c r="V7" t="s" s="52">
        <v>3835</v>
      </c>
      <c r="W7" t="s" s="65">
        <v>3847</v>
      </c>
      <c r="X7" s="59" cm="1">
        <f t="array" ref="X7">-(1/0.393)</f>
        <v>-2.54452926208651</v>
      </c>
      <c r="Y7" s="60" cm="1">
        <f t="array" ref="Y7">-(1/0.273)</f>
        <v>-3.66300366300366</v>
      </c>
      <c r="Z7" s="60" cm="1">
        <f t="array" ref="Z7">X7+(X7-Y7)</f>
        <v>-1.42605486116936</v>
      </c>
      <c r="AA7" t="s" s="65">
        <v>3848</v>
      </c>
      <c r="AB7" s="69"/>
      <c r="AC7" s="66"/>
      <c r="AD7" s="67"/>
      <c r="AE7" s="67"/>
      <c r="AF7" t="s" s="52">
        <v>3849</v>
      </c>
      <c r="AG7" s="63"/>
      <c r="AH7" t="s" s="70">
        <v>1518</v>
      </c>
      <c r="AI7" s="53"/>
    </row>
    <row r="8" ht="75" customHeight="1">
      <c r="A8" t="s" s="46">
        <v>3838</v>
      </c>
      <c r="B8" t="s" s="68">
        <v>3839</v>
      </c>
      <c r="C8" t="s" s="52">
        <v>3840</v>
      </c>
      <c r="D8" t="s" s="52">
        <v>3841</v>
      </c>
      <c r="E8" s="53"/>
      <c r="F8" t="s" s="52">
        <v>3842</v>
      </c>
      <c r="G8" s="53"/>
      <c r="H8" t="s" s="52">
        <v>3815</v>
      </c>
      <c r="I8" s="53"/>
      <c r="J8" s="53"/>
      <c r="K8" t="s" s="52">
        <v>3843</v>
      </c>
      <c r="L8" s="53"/>
      <c r="M8" t="s" s="64">
        <v>3819</v>
      </c>
      <c r="N8" t="s" s="55">
        <v>3844</v>
      </c>
      <c r="O8" t="s" s="52">
        <v>3820</v>
      </c>
      <c r="P8" t="s" s="52">
        <v>3851</v>
      </c>
      <c r="Q8" s="53"/>
      <c r="R8" t="s" s="55">
        <v>3819</v>
      </c>
      <c r="S8" t="s" s="55">
        <v>3852</v>
      </c>
      <c r="T8" t="s" s="55">
        <v>3822</v>
      </c>
      <c r="U8" t="s" s="52">
        <v>3850</v>
      </c>
      <c r="V8" t="s" s="52">
        <v>3835</v>
      </c>
      <c r="W8" s="71">
        <v>1</v>
      </c>
      <c r="X8" s="59" cm="1">
        <f t="array" ref="X8">-1/9.67</f>
        <v>-0.103412616339193</v>
      </c>
      <c r="Y8" s="60" cm="1">
        <f t="array" ref="Y8">-1/6.567</f>
        <v>-0.152276534186082</v>
      </c>
      <c r="Z8" s="60" cm="1">
        <f t="array" ref="Z8">X8+(X8-Y8)</f>
        <v>-0.054548698492304</v>
      </c>
      <c r="AA8" t="s" s="65">
        <v>3848</v>
      </c>
      <c r="AB8" s="69"/>
      <c r="AC8" s="66"/>
      <c r="AD8" s="67"/>
      <c r="AE8" s="67"/>
      <c r="AF8" t="s" s="52">
        <v>3849</v>
      </c>
      <c r="AG8" s="63"/>
      <c r="AH8" t="s" s="70">
        <v>1518</v>
      </c>
      <c r="AI8" s="53"/>
    </row>
    <row r="9" ht="75" customHeight="1">
      <c r="A9" t="s" s="46">
        <v>3838</v>
      </c>
      <c r="B9" t="s" s="68">
        <v>3839</v>
      </c>
      <c r="C9" t="s" s="52">
        <v>3840</v>
      </c>
      <c r="D9" t="s" s="52">
        <v>3841</v>
      </c>
      <c r="E9" s="53"/>
      <c r="F9" t="s" s="52">
        <v>3842</v>
      </c>
      <c r="G9" s="53"/>
      <c r="H9" t="s" s="52">
        <v>3815</v>
      </c>
      <c r="I9" s="53"/>
      <c r="J9" s="53"/>
      <c r="K9" t="s" s="52">
        <v>3843</v>
      </c>
      <c r="L9" s="53"/>
      <c r="M9" t="s" s="64">
        <v>3819</v>
      </c>
      <c r="N9" t="s" s="55">
        <v>3844</v>
      </c>
      <c r="O9" t="s" s="52">
        <v>3820</v>
      </c>
      <c r="P9" t="s" s="52">
        <v>3853</v>
      </c>
      <c r="Q9" s="53"/>
      <c r="R9" t="s" s="55">
        <v>3819</v>
      </c>
      <c r="S9" t="s" s="55">
        <v>3854</v>
      </c>
      <c r="T9" t="s" s="55">
        <v>3822</v>
      </c>
      <c r="U9" t="s" s="52">
        <v>3846</v>
      </c>
      <c r="V9" t="s" s="52">
        <v>3835</v>
      </c>
      <c r="W9" t="s" s="65">
        <v>3847</v>
      </c>
      <c r="X9" s="59" cm="1">
        <f t="array" ref="X9">-1/0.355</f>
        <v>-2.8169014084507</v>
      </c>
      <c r="Y9" s="60" cm="1">
        <f t="array" ref="Y9">-1/0.25</f>
        <v>-4</v>
      </c>
      <c r="Z9" s="60" cm="1">
        <f t="array" ref="Z9">X9+(X9-Y9)</f>
        <v>-1.6338028169014</v>
      </c>
      <c r="AA9" t="s" s="65">
        <v>3848</v>
      </c>
      <c r="AB9" s="69"/>
      <c r="AC9" s="66"/>
      <c r="AD9" s="67"/>
      <c r="AE9" s="67"/>
      <c r="AF9" t="s" s="52">
        <v>3849</v>
      </c>
      <c r="AG9" s="63"/>
      <c r="AH9" t="s" s="70">
        <v>1518</v>
      </c>
      <c r="AI9" s="53"/>
    </row>
    <row r="10" ht="75" customHeight="1">
      <c r="A10" t="s" s="46">
        <v>3838</v>
      </c>
      <c r="B10" t="s" s="68">
        <v>3839</v>
      </c>
      <c r="C10" t="s" s="52">
        <v>3840</v>
      </c>
      <c r="D10" t="s" s="52">
        <v>3841</v>
      </c>
      <c r="E10" s="53"/>
      <c r="F10" t="s" s="52">
        <v>3842</v>
      </c>
      <c r="G10" s="53"/>
      <c r="H10" t="s" s="52">
        <v>3815</v>
      </c>
      <c r="I10" s="53"/>
      <c r="J10" s="53"/>
      <c r="K10" t="s" s="52">
        <v>3843</v>
      </c>
      <c r="L10" s="53"/>
      <c r="M10" t="s" s="64">
        <v>3819</v>
      </c>
      <c r="N10" t="s" s="55">
        <v>3844</v>
      </c>
      <c r="O10" t="s" s="52">
        <v>3820</v>
      </c>
      <c r="P10" t="s" s="52">
        <v>3853</v>
      </c>
      <c r="Q10" s="53"/>
      <c r="R10" t="s" s="55">
        <v>3819</v>
      </c>
      <c r="S10" t="s" s="55">
        <v>3854</v>
      </c>
      <c r="T10" t="s" s="55">
        <v>3822</v>
      </c>
      <c r="U10" t="s" s="52">
        <v>3850</v>
      </c>
      <c r="V10" t="s" s="52">
        <v>3835</v>
      </c>
      <c r="W10" s="71">
        <v>1</v>
      </c>
      <c r="X10" s="59" cm="1">
        <f t="array" ref="X10">-1/6.446</f>
        <v>-0.155134967421657</v>
      </c>
      <c r="Y10" s="60" cm="1">
        <f t="array" ref="Y10">-1/4.498</f>
        <v>-0.222321031569586</v>
      </c>
      <c r="Z10" s="60" cm="1">
        <f t="array" ref="Z10">X10+(X10-Y10)</f>
        <v>-0.08794890327372799</v>
      </c>
      <c r="AA10" t="s" s="65">
        <v>3848</v>
      </c>
      <c r="AB10" s="69"/>
      <c r="AC10" s="66"/>
      <c r="AD10" s="67"/>
      <c r="AE10" s="67"/>
      <c r="AF10" t="s" s="52">
        <v>3849</v>
      </c>
      <c r="AG10" s="63"/>
      <c r="AH10" t="s" s="70">
        <v>1518</v>
      </c>
      <c r="AI10" s="53"/>
    </row>
    <row r="11" ht="75" customHeight="1">
      <c r="A11" t="s" s="46">
        <v>3838</v>
      </c>
      <c r="B11" t="s" s="68">
        <v>3839</v>
      </c>
      <c r="C11" t="s" s="52">
        <v>3840</v>
      </c>
      <c r="D11" t="s" s="52">
        <v>3841</v>
      </c>
      <c r="E11" s="53"/>
      <c r="F11" t="s" s="52">
        <v>3842</v>
      </c>
      <c r="G11" s="53"/>
      <c r="H11" t="s" s="52">
        <v>3815</v>
      </c>
      <c r="I11" s="53"/>
      <c r="J11" s="53"/>
      <c r="K11" t="s" s="52">
        <v>3843</v>
      </c>
      <c r="L11" s="53"/>
      <c r="M11" t="s" s="64">
        <v>3819</v>
      </c>
      <c r="N11" t="s" s="55">
        <v>3844</v>
      </c>
      <c r="O11" t="s" s="52">
        <v>3820</v>
      </c>
      <c r="P11" t="s" s="52">
        <v>3855</v>
      </c>
      <c r="Q11" s="53"/>
      <c r="R11" t="s" s="55">
        <v>3819</v>
      </c>
      <c r="S11" t="s" s="55">
        <v>3856</v>
      </c>
      <c r="T11" t="s" s="55">
        <v>3822</v>
      </c>
      <c r="U11" t="s" s="52">
        <v>3846</v>
      </c>
      <c r="V11" t="s" s="52">
        <v>3835</v>
      </c>
      <c r="W11" t="s" s="65">
        <v>3847</v>
      </c>
      <c r="X11" s="59" cm="1">
        <f t="array" ref="X11">-1/0.558</f>
        <v>-1.7921146953405</v>
      </c>
      <c r="Y11" s="60" cm="1">
        <f t="array" ref="Y11">-1/0.343</f>
        <v>-2.91545189504373</v>
      </c>
      <c r="Z11" s="60" cm="1">
        <f t="array" ref="Z11">X11+(X11-Y11)</f>
        <v>-0.66877749563727</v>
      </c>
      <c r="AA11" t="s" s="65">
        <v>3848</v>
      </c>
      <c r="AB11" s="69"/>
      <c r="AC11" s="66"/>
      <c r="AD11" s="67"/>
      <c r="AE11" s="67"/>
      <c r="AF11" t="s" s="52">
        <v>3849</v>
      </c>
      <c r="AG11" s="63"/>
      <c r="AH11" t="s" s="70">
        <v>1518</v>
      </c>
      <c r="AI11" s="53"/>
    </row>
    <row r="12" ht="75" customHeight="1">
      <c r="A12" t="s" s="46">
        <v>3838</v>
      </c>
      <c r="B12" t="s" s="68">
        <v>3839</v>
      </c>
      <c r="C12" t="s" s="52">
        <v>3840</v>
      </c>
      <c r="D12" t="s" s="52">
        <v>3841</v>
      </c>
      <c r="E12" s="53"/>
      <c r="F12" t="s" s="52">
        <v>3842</v>
      </c>
      <c r="G12" s="53"/>
      <c r="H12" t="s" s="52">
        <v>3815</v>
      </c>
      <c r="I12" s="53"/>
      <c r="J12" s="53"/>
      <c r="K12" t="s" s="52">
        <v>3843</v>
      </c>
      <c r="L12" s="53"/>
      <c r="M12" t="s" s="64">
        <v>3819</v>
      </c>
      <c r="N12" t="s" s="55">
        <v>3844</v>
      </c>
      <c r="O12" t="s" s="52">
        <v>3820</v>
      </c>
      <c r="P12" t="s" s="52">
        <v>3855</v>
      </c>
      <c r="Q12" s="53"/>
      <c r="R12" t="s" s="55">
        <v>3819</v>
      </c>
      <c r="S12" t="s" s="55">
        <v>3856</v>
      </c>
      <c r="T12" t="s" s="55">
        <v>3822</v>
      </c>
      <c r="U12" t="s" s="52">
        <v>3850</v>
      </c>
      <c r="V12" t="s" s="52">
        <v>3835</v>
      </c>
      <c r="W12" s="71">
        <v>1</v>
      </c>
      <c r="X12" s="59" cm="1">
        <f t="array" ref="X12">-1/8.061</f>
        <v>-0.124054087582186</v>
      </c>
      <c r="Y12" s="60" cm="1">
        <f t="array" ref="Y12">-1/5.243</f>
        <v>-0.190730497806599</v>
      </c>
      <c r="Z12" s="60" cm="1">
        <f t="array" ref="Z12">X12+(X12-Y12)</f>
        <v>-0.057377677357773</v>
      </c>
      <c r="AA12" t="s" s="65">
        <v>3848</v>
      </c>
      <c r="AB12" s="69"/>
      <c r="AC12" s="66"/>
      <c r="AD12" s="67"/>
      <c r="AE12" s="67"/>
      <c r="AF12" t="s" s="52">
        <v>3849</v>
      </c>
      <c r="AG12" s="63"/>
      <c r="AH12" t="s" s="70">
        <v>1518</v>
      </c>
      <c r="AI12" s="53"/>
    </row>
    <row r="13" ht="75" customHeight="1">
      <c r="A13" t="s" s="46">
        <v>3838</v>
      </c>
      <c r="B13" t="s" s="68">
        <v>3839</v>
      </c>
      <c r="C13" t="s" s="52">
        <v>3840</v>
      </c>
      <c r="D13" t="s" s="52">
        <v>3841</v>
      </c>
      <c r="E13" s="53"/>
      <c r="F13" t="s" s="52">
        <v>3842</v>
      </c>
      <c r="G13" s="53"/>
      <c r="H13" t="s" s="52">
        <v>3815</v>
      </c>
      <c r="I13" s="53"/>
      <c r="J13" s="53"/>
      <c r="K13" t="s" s="52">
        <v>3843</v>
      </c>
      <c r="L13" s="53"/>
      <c r="M13" t="s" s="64">
        <v>3819</v>
      </c>
      <c r="N13" t="s" s="55">
        <v>3844</v>
      </c>
      <c r="O13" t="s" s="52">
        <v>3820</v>
      </c>
      <c r="P13" t="s" s="52">
        <v>3821</v>
      </c>
      <c r="Q13" s="53"/>
      <c r="R13" t="s" s="55">
        <v>3819</v>
      </c>
      <c r="S13" t="s" s="55">
        <v>3845</v>
      </c>
      <c r="T13" t="s" s="55">
        <v>3822</v>
      </c>
      <c r="U13" t="s" s="52">
        <v>3850</v>
      </c>
      <c r="V13" t="s" s="52">
        <v>3857</v>
      </c>
      <c r="W13" s="58"/>
      <c r="X13" t="s" s="65">
        <v>3858</v>
      </c>
      <c r="Y13" t="s" s="65">
        <v>3814</v>
      </c>
      <c r="Z13" t="s" s="65">
        <v>3814</v>
      </c>
      <c r="AA13" s="61"/>
      <c r="AB13" s="69"/>
      <c r="AC13" s="66"/>
      <c r="AD13" s="67"/>
      <c r="AE13" s="67"/>
      <c r="AF13" t="s" s="52">
        <v>3849</v>
      </c>
      <c r="AG13" s="63"/>
      <c r="AH13" t="s" s="70">
        <v>1518</v>
      </c>
      <c r="AI13" s="53"/>
    </row>
    <row r="14" ht="75" customHeight="1">
      <c r="A14" t="s" s="46">
        <v>3838</v>
      </c>
      <c r="B14" t="s" s="68">
        <v>3839</v>
      </c>
      <c r="C14" t="s" s="52">
        <v>3840</v>
      </c>
      <c r="D14" t="s" s="52">
        <v>3841</v>
      </c>
      <c r="E14" s="53"/>
      <c r="F14" t="s" s="52">
        <v>3842</v>
      </c>
      <c r="G14" s="53"/>
      <c r="H14" t="s" s="52">
        <v>3815</v>
      </c>
      <c r="I14" s="53"/>
      <c r="J14" s="53"/>
      <c r="K14" t="s" s="52">
        <v>3843</v>
      </c>
      <c r="L14" s="53"/>
      <c r="M14" t="s" s="64">
        <v>3819</v>
      </c>
      <c r="N14" t="s" s="55">
        <v>3844</v>
      </c>
      <c r="O14" t="s" s="52">
        <v>3820</v>
      </c>
      <c r="P14" t="s" s="52">
        <v>3859</v>
      </c>
      <c r="Q14" s="53"/>
      <c r="R14" s="72"/>
      <c r="S14" s="72"/>
      <c r="T14" s="72"/>
      <c r="U14" t="s" s="52">
        <v>3850</v>
      </c>
      <c r="V14" t="s" s="52">
        <v>3860</v>
      </c>
      <c r="W14" s="71">
        <v>1</v>
      </c>
      <c r="X14" s="59">
        <v>-0.583</v>
      </c>
      <c r="Y14" t="s" s="65">
        <v>3814</v>
      </c>
      <c r="Z14" t="s" s="65">
        <v>3814</v>
      </c>
      <c r="AA14" s="61"/>
      <c r="AB14" s="69"/>
      <c r="AC14" s="66"/>
      <c r="AD14" s="67"/>
      <c r="AE14" s="67"/>
      <c r="AF14" t="s" s="52">
        <v>3849</v>
      </c>
      <c r="AG14" s="63"/>
      <c r="AH14" t="s" s="70">
        <v>1518</v>
      </c>
      <c r="AI14" s="53"/>
    </row>
    <row r="15" ht="75" customHeight="1">
      <c r="A15" t="s" s="46">
        <v>3838</v>
      </c>
      <c r="B15" t="s" s="68">
        <v>3839</v>
      </c>
      <c r="C15" t="s" s="52">
        <v>3840</v>
      </c>
      <c r="D15" t="s" s="52">
        <v>3841</v>
      </c>
      <c r="E15" s="53"/>
      <c r="F15" t="s" s="52">
        <v>3842</v>
      </c>
      <c r="G15" s="53"/>
      <c r="H15" t="s" s="52">
        <v>3815</v>
      </c>
      <c r="I15" s="53"/>
      <c r="J15" s="53"/>
      <c r="K15" t="s" s="52">
        <v>3843</v>
      </c>
      <c r="L15" s="53"/>
      <c r="M15" t="s" s="64">
        <v>3819</v>
      </c>
      <c r="N15" t="s" s="55">
        <v>3844</v>
      </c>
      <c r="O15" t="s" s="52">
        <v>3820</v>
      </c>
      <c r="P15" t="s" s="52">
        <v>3861</v>
      </c>
      <c r="Q15" s="53"/>
      <c r="R15" s="72"/>
      <c r="S15" s="72"/>
      <c r="T15" s="72"/>
      <c r="U15" t="s" s="52">
        <v>3850</v>
      </c>
      <c r="V15" t="s" s="52">
        <v>3860</v>
      </c>
      <c r="W15" s="71">
        <v>1</v>
      </c>
      <c r="X15" s="59">
        <v>-0.149</v>
      </c>
      <c r="Y15" t="s" s="65">
        <v>3814</v>
      </c>
      <c r="Z15" t="s" s="65">
        <v>3814</v>
      </c>
      <c r="AA15" s="61"/>
      <c r="AB15" s="69"/>
      <c r="AC15" s="66"/>
      <c r="AD15" s="67"/>
      <c r="AE15" s="67"/>
      <c r="AF15" t="s" s="52">
        <v>3849</v>
      </c>
      <c r="AG15" s="63"/>
      <c r="AH15" t="s" s="70">
        <v>1518</v>
      </c>
      <c r="AI15" s="53"/>
    </row>
    <row r="16" ht="90" customHeight="1">
      <c r="A16" t="s" s="46">
        <v>519</v>
      </c>
      <c r="B16" t="s" s="52">
        <v>3862</v>
      </c>
      <c r="C16" t="s" s="52">
        <v>3863</v>
      </c>
      <c r="D16" t="s" s="52">
        <v>3864</v>
      </c>
      <c r="E16" t="s" s="52">
        <v>3865</v>
      </c>
      <c r="F16" t="s" s="52">
        <v>3866</v>
      </c>
      <c r="G16" t="s" s="52">
        <v>3867</v>
      </c>
      <c r="H16" t="s" s="52">
        <v>3815</v>
      </c>
      <c r="I16" s="54">
        <v>727</v>
      </c>
      <c r="J16" t="s" s="52">
        <v>3868</v>
      </c>
      <c r="K16" t="s" s="57">
        <v>3843</v>
      </c>
      <c r="L16" s="54">
        <v>5</v>
      </c>
      <c r="M16" t="s" s="55">
        <v>3819</v>
      </c>
      <c r="N16" s="56">
        <v>80.7</v>
      </c>
      <c r="O16" t="s" s="52">
        <v>3820</v>
      </c>
      <c r="P16" t="s" s="52">
        <v>3869</v>
      </c>
      <c r="Q16" s="53"/>
      <c r="R16" t="s" s="55">
        <v>3819</v>
      </c>
      <c r="S16" s="73" cm="1">
        <f t="array" ref="S16">(11.93*(360/(360+371))+12.2*(371/(360+371)))</f>
        <v>12.0670314637483</v>
      </c>
      <c r="T16" t="s" s="55">
        <v>3822</v>
      </c>
      <c r="U16" t="s" s="68">
        <v>3850</v>
      </c>
      <c r="V16" t="s" s="52">
        <v>3835</v>
      </c>
      <c r="W16" s="71">
        <v>1</v>
      </c>
      <c r="X16" s="71">
        <v>-0.4</v>
      </c>
      <c r="Y16" s="60">
        <v>-0.5</v>
      </c>
      <c r="Z16" s="60">
        <v>-0.2</v>
      </c>
      <c r="AA16" s="61">
        <v>0.95</v>
      </c>
      <c r="AB16" s="58"/>
      <c r="AC16" s="66" cm="1">
        <f t="array" ref="AC16">(Z16-Y16)/(3.92)</f>
        <v>0.076530612244898</v>
      </c>
      <c r="AD16" s="67" cm="1">
        <f t="array" ref="AD16">X16-1.96*AC16</f>
        <v>-0.55</v>
      </c>
      <c r="AE16" s="67" cm="1">
        <f t="array" ref="AE16">X16+1.96*AC16</f>
        <v>-0.25</v>
      </c>
      <c r="AF16" t="s" s="52">
        <v>3870</v>
      </c>
      <c r="AG16" s="63"/>
      <c r="AH16" t="s" s="52">
        <v>3871</v>
      </c>
      <c r="AI16" s="53"/>
    </row>
    <row r="17" ht="90" customHeight="1">
      <c r="A17" t="s" s="46">
        <v>519</v>
      </c>
      <c r="B17" t="s" s="52">
        <v>3862</v>
      </c>
      <c r="C17" t="s" s="52">
        <v>3863</v>
      </c>
      <c r="D17" t="s" s="52">
        <v>3864</v>
      </c>
      <c r="E17" t="s" s="52">
        <v>3865</v>
      </c>
      <c r="F17" t="s" s="52">
        <v>3866</v>
      </c>
      <c r="G17" t="s" s="52">
        <v>3867</v>
      </c>
      <c r="H17" t="s" s="52">
        <v>3815</v>
      </c>
      <c r="I17" s="54">
        <v>644</v>
      </c>
      <c r="J17" t="s" s="52">
        <v>3868</v>
      </c>
      <c r="K17" t="s" s="52">
        <v>3872</v>
      </c>
      <c r="L17" s="54">
        <v>7</v>
      </c>
      <c r="M17" t="s" s="55">
        <v>3819</v>
      </c>
      <c r="N17" s="56">
        <v>87.09999999999999</v>
      </c>
      <c r="O17" t="s" s="52">
        <v>3820</v>
      </c>
      <c r="P17" t="s" s="52">
        <v>3869</v>
      </c>
      <c r="Q17" s="53"/>
      <c r="R17" t="s" s="55">
        <v>3819</v>
      </c>
      <c r="S17" s="73" cm="1">
        <f t="array" ref="S17">(8*(312/(312+310))+8*(310/(310+312)))</f>
        <v>8</v>
      </c>
      <c r="T17" t="s" s="55">
        <v>3822</v>
      </c>
      <c r="U17" t="s" s="68">
        <v>3850</v>
      </c>
      <c r="V17" t="s" s="52">
        <v>3835</v>
      </c>
      <c r="W17" s="71">
        <v>1</v>
      </c>
      <c r="X17" s="71" cm="1">
        <f t="array" ref="X17">-0.4</f>
        <v>-0.4</v>
      </c>
      <c r="Y17" s="60">
        <v>-0.6</v>
      </c>
      <c r="Z17" s="60">
        <v>-0.3</v>
      </c>
      <c r="AA17" s="61">
        <v>0.95</v>
      </c>
      <c r="AB17" s="61"/>
      <c r="AC17" s="66" cm="1">
        <f t="array" ref="AC17">(Z17-Y17)/(3.92)</f>
        <v>0.076530612244898</v>
      </c>
      <c r="AD17" s="67" cm="1">
        <f t="array" ref="AD17">X17-1.96*AC17</f>
        <v>-0.55</v>
      </c>
      <c r="AE17" s="67" cm="1">
        <f t="array" ref="AE17">X17+1.96*AC17</f>
        <v>-0.25</v>
      </c>
      <c r="AF17" t="s" s="52">
        <v>3870</v>
      </c>
      <c r="AG17" s="63"/>
      <c r="AH17" t="s" s="52">
        <v>3871</v>
      </c>
      <c r="AI17" s="53"/>
    </row>
    <row r="18" ht="90" customHeight="1">
      <c r="A18" t="s" s="46">
        <v>652</v>
      </c>
      <c r="B18" t="s" s="52">
        <v>3862</v>
      </c>
      <c r="C18" t="s" s="52">
        <v>3863</v>
      </c>
      <c r="D18" t="s" s="52">
        <v>3864</v>
      </c>
      <c r="E18" t="s" s="52">
        <v>3865</v>
      </c>
      <c r="F18" t="s" s="52">
        <v>3866</v>
      </c>
      <c r="G18" t="s" s="52">
        <v>3867</v>
      </c>
      <c r="H18" t="s" s="52">
        <v>3815</v>
      </c>
      <c r="I18" t="s" s="52">
        <v>3873</v>
      </c>
      <c r="J18" t="s" s="52">
        <v>3868</v>
      </c>
      <c r="K18" t="s" s="57">
        <v>3843</v>
      </c>
      <c r="L18" s="54">
        <v>5</v>
      </c>
      <c r="M18" t="s" s="55">
        <v>3819</v>
      </c>
      <c r="N18" s="56">
        <v>80.59999999999999</v>
      </c>
      <c r="O18" t="s" s="52">
        <v>3820</v>
      </c>
      <c r="P18" t="s" s="52">
        <v>3874</v>
      </c>
      <c r="Q18" s="54">
        <v>2</v>
      </c>
      <c r="R18" t="s" s="55">
        <v>3819</v>
      </c>
      <c r="S18" s="56">
        <v>26.2</v>
      </c>
      <c r="T18" t="s" s="55">
        <v>3822</v>
      </c>
      <c r="U18" t="s" s="68">
        <v>3850</v>
      </c>
      <c r="V18" t="s" s="52">
        <v>3835</v>
      </c>
      <c r="W18" s="74">
        <v>10</v>
      </c>
      <c r="X18" s="74">
        <v>-2.3</v>
      </c>
      <c r="Y18" s="60">
        <v>-4.1</v>
      </c>
      <c r="Z18" s="60">
        <v>-0.5</v>
      </c>
      <c r="AA18" s="61">
        <v>0.95</v>
      </c>
      <c r="AB18" s="61"/>
      <c r="AC18" s="66" cm="1">
        <f t="array" ref="AC18">(Z18-Y18)/(3.92)</f>
        <v>0.918367346938776</v>
      </c>
      <c r="AD18" s="67" cm="1">
        <f t="array" ref="AD18">X18-1.96*AC18</f>
        <v>-4.1</v>
      </c>
      <c r="AE18" s="67" cm="1">
        <f t="array" ref="AE18">X18+1.96*AC18</f>
        <v>-0.499999999999999</v>
      </c>
      <c r="AF18" t="s" s="52">
        <v>3875</v>
      </c>
      <c r="AG18" s="63"/>
      <c r="AH18" t="s" s="52">
        <v>3871</v>
      </c>
      <c r="AI18" s="53"/>
    </row>
    <row r="19" ht="90" customHeight="1">
      <c r="A19" t="s" s="46">
        <v>652</v>
      </c>
      <c r="B19" t="s" s="52">
        <v>3862</v>
      </c>
      <c r="C19" t="s" s="52">
        <v>3863</v>
      </c>
      <c r="D19" t="s" s="52">
        <v>3864</v>
      </c>
      <c r="E19" t="s" s="52">
        <v>3865</v>
      </c>
      <c r="F19" t="s" s="52">
        <v>3866</v>
      </c>
      <c r="G19" t="s" s="52">
        <v>3867</v>
      </c>
      <c r="H19" t="s" s="52">
        <v>3815</v>
      </c>
      <c r="I19" t="s" s="52">
        <v>3876</v>
      </c>
      <c r="J19" t="s" s="52">
        <v>3868</v>
      </c>
      <c r="K19" t="s" s="52">
        <v>3872</v>
      </c>
      <c r="L19" s="54">
        <v>7</v>
      </c>
      <c r="M19" t="s" s="55">
        <v>3819</v>
      </c>
      <c r="N19" s="56">
        <v>86.7</v>
      </c>
      <c r="O19" t="s" s="52">
        <v>3820</v>
      </c>
      <c r="P19" t="s" s="52">
        <v>3874</v>
      </c>
      <c r="Q19" s="54">
        <v>2</v>
      </c>
      <c r="R19" t="s" s="55">
        <v>3819</v>
      </c>
      <c r="S19" s="56">
        <v>26.2</v>
      </c>
      <c r="T19" t="s" s="55">
        <v>3822</v>
      </c>
      <c r="U19" t="s" s="68">
        <v>3850</v>
      </c>
      <c r="V19" t="s" s="52">
        <v>3835</v>
      </c>
      <c r="W19" s="71">
        <v>10</v>
      </c>
      <c r="X19" s="71">
        <v>-1.1</v>
      </c>
      <c r="Y19" s="60">
        <v>-2.9</v>
      </c>
      <c r="Z19" s="60">
        <v>0.7</v>
      </c>
      <c r="AA19" s="61">
        <v>0.95</v>
      </c>
      <c r="AB19" s="61"/>
      <c r="AC19" s="66" cm="1">
        <f t="array" ref="AC19">(Z19-Y19)/(3.92)</f>
        <v>0.918367346938776</v>
      </c>
      <c r="AD19" s="67" cm="1">
        <f t="array" ref="AD19">X19-1.96*AC19</f>
        <v>-2.9</v>
      </c>
      <c r="AE19" s="67" cm="1">
        <f t="array" ref="AE19">X19+1.96*AC19</f>
        <v>0.700000000000001</v>
      </c>
      <c r="AF19" t="s" s="52">
        <v>3875</v>
      </c>
      <c r="AG19" s="63"/>
      <c r="AH19" t="s" s="52">
        <v>3871</v>
      </c>
      <c r="AI19" s="53"/>
    </row>
    <row r="20" ht="90" customHeight="1">
      <c r="A20" t="s" s="46">
        <v>652</v>
      </c>
      <c r="B20" t="s" s="52">
        <v>3862</v>
      </c>
      <c r="C20" t="s" s="52">
        <v>3863</v>
      </c>
      <c r="D20" t="s" s="52">
        <v>3864</v>
      </c>
      <c r="E20" t="s" s="52">
        <v>3865</v>
      </c>
      <c r="F20" t="s" s="52">
        <v>3866</v>
      </c>
      <c r="G20" t="s" s="52">
        <v>3867</v>
      </c>
      <c r="H20" t="s" s="52">
        <v>3815</v>
      </c>
      <c r="I20" t="s" s="52">
        <v>3873</v>
      </c>
      <c r="J20" t="s" s="52">
        <v>3868</v>
      </c>
      <c r="K20" t="s" s="57">
        <v>3843</v>
      </c>
      <c r="L20" s="54">
        <v>5</v>
      </c>
      <c r="M20" t="s" s="55">
        <v>3819</v>
      </c>
      <c r="N20" s="56">
        <v>80.59999999999999</v>
      </c>
      <c r="O20" t="s" s="52">
        <v>3820</v>
      </c>
      <c r="P20" t="s" s="52">
        <v>3869</v>
      </c>
      <c r="Q20" s="54">
        <v>5</v>
      </c>
      <c r="R20" t="s" s="55">
        <v>3819</v>
      </c>
      <c r="S20" s="75">
        <v>12</v>
      </c>
      <c r="T20" t="s" s="55">
        <v>3822</v>
      </c>
      <c r="U20" t="s" s="68">
        <v>3850</v>
      </c>
      <c r="V20" t="s" s="52">
        <v>3835</v>
      </c>
      <c r="W20" s="71">
        <v>10</v>
      </c>
      <c r="X20" s="71">
        <v>-3.5</v>
      </c>
      <c r="Y20" s="60">
        <v>-5.3</v>
      </c>
      <c r="Z20" s="60">
        <v>-1.7</v>
      </c>
      <c r="AA20" s="61">
        <v>0.95</v>
      </c>
      <c r="AB20" s="61"/>
      <c r="AC20" s="66" cm="1">
        <f t="array" ref="AC20">(Z20-Y20)/(3.92)</f>
        <v>0.918367346938776</v>
      </c>
      <c r="AD20" s="67" cm="1">
        <f t="array" ref="AD20">X20-1.96*AC20</f>
        <v>-5.3</v>
      </c>
      <c r="AE20" s="67" cm="1">
        <f t="array" ref="AE20">X20+1.96*AC20</f>
        <v>-1.7</v>
      </c>
      <c r="AF20" t="s" s="52">
        <v>3875</v>
      </c>
      <c r="AG20" s="63"/>
      <c r="AH20" t="s" s="52">
        <v>3871</v>
      </c>
      <c r="AI20" s="53"/>
    </row>
    <row r="21" ht="90" customHeight="1">
      <c r="A21" t="s" s="46">
        <v>652</v>
      </c>
      <c r="B21" t="s" s="52">
        <v>3862</v>
      </c>
      <c r="C21" t="s" s="52">
        <v>3863</v>
      </c>
      <c r="D21" t="s" s="52">
        <v>3864</v>
      </c>
      <c r="E21" t="s" s="52">
        <v>3865</v>
      </c>
      <c r="F21" t="s" s="52">
        <v>3866</v>
      </c>
      <c r="G21" t="s" s="52">
        <v>3867</v>
      </c>
      <c r="H21" t="s" s="52">
        <v>3815</v>
      </c>
      <c r="I21" t="s" s="52">
        <v>3876</v>
      </c>
      <c r="J21" t="s" s="52">
        <v>3868</v>
      </c>
      <c r="K21" t="s" s="52">
        <v>3872</v>
      </c>
      <c r="L21" s="54">
        <v>7</v>
      </c>
      <c r="M21" t="s" s="55">
        <v>3819</v>
      </c>
      <c r="N21" s="56">
        <v>86.7</v>
      </c>
      <c r="O21" t="s" s="52">
        <v>3820</v>
      </c>
      <c r="P21" t="s" s="52">
        <v>3877</v>
      </c>
      <c r="Q21" s="54">
        <v>5</v>
      </c>
      <c r="R21" t="s" s="55">
        <v>3819</v>
      </c>
      <c r="S21" s="75">
        <v>12</v>
      </c>
      <c r="T21" t="s" s="55">
        <v>3822</v>
      </c>
      <c r="U21" t="s" s="68">
        <v>3850</v>
      </c>
      <c r="V21" t="s" s="52">
        <v>3835</v>
      </c>
      <c r="W21" s="71">
        <v>10</v>
      </c>
      <c r="X21" s="71">
        <v>-2.9</v>
      </c>
      <c r="Y21" s="60">
        <v>-4.8</v>
      </c>
      <c r="Z21" s="60">
        <v>-1.1</v>
      </c>
      <c r="AA21" s="61">
        <v>0.95</v>
      </c>
      <c r="AB21" s="61"/>
      <c r="AC21" s="66" cm="1">
        <f t="array" ref="AC21">(Z21-Y21)/(3.92)</f>
        <v>0.943877551020408</v>
      </c>
      <c r="AD21" s="67" cm="1">
        <f t="array" ref="AD21">X21-1.96*AC21</f>
        <v>-4.75</v>
      </c>
      <c r="AE21" s="67" cm="1">
        <f t="array" ref="AE21">X21+1.96*AC21</f>
        <v>-1.05</v>
      </c>
      <c r="AF21" t="s" s="52">
        <v>3875</v>
      </c>
      <c r="AG21" s="63"/>
      <c r="AH21" t="s" s="52">
        <v>3871</v>
      </c>
      <c r="AI21" s="53"/>
    </row>
    <row r="22" ht="90" customHeight="1">
      <c r="A22" t="s" s="46">
        <v>652</v>
      </c>
      <c r="B22" t="s" s="52">
        <v>3862</v>
      </c>
      <c r="C22" t="s" s="52">
        <v>3863</v>
      </c>
      <c r="D22" t="s" s="52">
        <v>3864</v>
      </c>
      <c r="E22" t="s" s="52">
        <v>3865</v>
      </c>
      <c r="F22" t="s" s="52">
        <v>3866</v>
      </c>
      <c r="G22" t="s" s="52">
        <v>3867</v>
      </c>
      <c r="H22" t="s" s="52">
        <v>3815</v>
      </c>
      <c r="I22" t="s" s="52">
        <v>3876</v>
      </c>
      <c r="J22" t="s" s="52">
        <v>3868</v>
      </c>
      <c r="K22" t="s" s="52">
        <v>3872</v>
      </c>
      <c r="L22" s="54">
        <v>7</v>
      </c>
      <c r="M22" t="s" s="55">
        <v>3819</v>
      </c>
      <c r="N22" s="56">
        <v>86.7</v>
      </c>
      <c r="O22" t="s" s="52">
        <v>3820</v>
      </c>
      <c r="P22" t="s" s="52">
        <v>3869</v>
      </c>
      <c r="Q22" s="54">
        <v>7</v>
      </c>
      <c r="R22" t="s" s="55">
        <v>3819</v>
      </c>
      <c r="S22" s="73">
        <v>8</v>
      </c>
      <c r="T22" t="s" s="55">
        <v>3822</v>
      </c>
      <c r="U22" t="s" s="68">
        <v>3850</v>
      </c>
      <c r="V22" t="s" s="52">
        <v>3835</v>
      </c>
      <c r="W22" s="71">
        <v>10</v>
      </c>
      <c r="X22" s="71">
        <v>-5.4</v>
      </c>
      <c r="Y22" s="60">
        <v>-7.8</v>
      </c>
      <c r="Z22" s="60">
        <v>-2.9</v>
      </c>
      <c r="AA22" s="61">
        <v>0.95</v>
      </c>
      <c r="AB22" s="61"/>
      <c r="AC22" s="66" cm="1">
        <f t="array" ref="AC22">(Z22-Y22)/(3.92)</f>
        <v>1.25</v>
      </c>
      <c r="AD22" s="67" cm="1">
        <f t="array" ref="AD22">X22-1.96*AC22</f>
        <v>-7.85</v>
      </c>
      <c r="AE22" s="67" cm="1">
        <f t="array" ref="AE22">X22+1.96*AC22</f>
        <v>-2.95</v>
      </c>
      <c r="AF22" t="s" s="52">
        <v>3875</v>
      </c>
      <c r="AG22" s="63"/>
      <c r="AH22" t="s" s="52">
        <v>3871</v>
      </c>
      <c r="AI22" s="53"/>
    </row>
    <row r="23" ht="90" customHeight="1">
      <c r="A23" t="s" s="46">
        <v>652</v>
      </c>
      <c r="B23" t="s" s="52">
        <v>3862</v>
      </c>
      <c r="C23" t="s" s="52">
        <v>3863</v>
      </c>
      <c r="D23" t="s" s="52">
        <v>3864</v>
      </c>
      <c r="E23" t="s" s="52">
        <v>3865</v>
      </c>
      <c r="F23" t="s" s="52">
        <v>3866</v>
      </c>
      <c r="G23" t="s" s="52">
        <v>3867</v>
      </c>
      <c r="H23" t="s" s="52">
        <v>3815</v>
      </c>
      <c r="I23" t="s" s="52">
        <v>3876</v>
      </c>
      <c r="J23" t="s" s="52">
        <v>3868</v>
      </c>
      <c r="K23" t="s" s="52">
        <v>3872</v>
      </c>
      <c r="L23" s="54">
        <v>7</v>
      </c>
      <c r="M23" t="s" s="55">
        <v>3819</v>
      </c>
      <c r="N23" s="56">
        <v>86.7</v>
      </c>
      <c r="O23" t="s" s="52">
        <v>3820</v>
      </c>
      <c r="P23" t="s" s="52">
        <v>3851</v>
      </c>
      <c r="Q23" t="s" s="52">
        <v>3878</v>
      </c>
      <c r="R23" t="s" s="55">
        <v>3819</v>
      </c>
      <c r="S23" s="56">
        <v>30.6</v>
      </c>
      <c r="T23" t="s" s="55">
        <v>3822</v>
      </c>
      <c r="U23" t="s" s="68">
        <v>3850</v>
      </c>
      <c r="V23" t="s" s="52">
        <v>3835</v>
      </c>
      <c r="W23" s="71">
        <v>10</v>
      </c>
      <c r="X23" s="71">
        <v>-0.7</v>
      </c>
      <c r="Y23" s="60">
        <v>-2.1</v>
      </c>
      <c r="Z23" s="60">
        <v>0.7</v>
      </c>
      <c r="AA23" s="61">
        <v>0.95</v>
      </c>
      <c r="AB23" s="61"/>
      <c r="AC23" s="66" cm="1">
        <f t="array" ref="AC23">(Z23-Y23)/(3.92)</f>
        <v>0.714285714285714</v>
      </c>
      <c r="AD23" s="67" cm="1">
        <f t="array" ref="AD23">X23-1.96*AC23</f>
        <v>-2.1</v>
      </c>
      <c r="AE23" s="67" cm="1">
        <f t="array" ref="AE23">X23+1.96*AC23</f>
        <v>0.699999999999999</v>
      </c>
      <c r="AF23" t="s" s="52">
        <v>3875</v>
      </c>
      <c r="AG23" s="63"/>
      <c r="AH23" t="s" s="52">
        <v>3871</v>
      </c>
      <c r="AI23" s="53"/>
    </row>
    <row r="24" ht="90" customHeight="1">
      <c r="A24" t="s" s="46">
        <v>652</v>
      </c>
      <c r="B24" t="s" s="52">
        <v>3862</v>
      </c>
      <c r="C24" t="s" s="52">
        <v>3863</v>
      </c>
      <c r="D24" t="s" s="52">
        <v>3864</v>
      </c>
      <c r="E24" t="s" s="52">
        <v>3865</v>
      </c>
      <c r="F24" t="s" s="52">
        <v>3866</v>
      </c>
      <c r="G24" t="s" s="52">
        <v>3867</v>
      </c>
      <c r="H24" t="s" s="52">
        <v>3815</v>
      </c>
      <c r="I24" t="s" s="52">
        <v>3873</v>
      </c>
      <c r="J24" t="s" s="52">
        <v>3868</v>
      </c>
      <c r="K24" t="s" s="57">
        <v>3843</v>
      </c>
      <c r="L24" s="54">
        <v>5</v>
      </c>
      <c r="M24" t="s" s="55">
        <v>3819</v>
      </c>
      <c r="N24" s="56">
        <v>80.59999999999999</v>
      </c>
      <c r="O24" t="s" s="52">
        <v>3820</v>
      </c>
      <c r="P24" t="s" s="52">
        <v>3879</v>
      </c>
      <c r="Q24" t="s" s="52">
        <v>3880</v>
      </c>
      <c r="R24" t="s" s="55">
        <v>3819</v>
      </c>
      <c r="S24" s="75">
        <v>17</v>
      </c>
      <c r="T24" t="s" s="55">
        <v>3822</v>
      </c>
      <c r="U24" t="s" s="68">
        <v>3850</v>
      </c>
      <c r="V24" t="s" s="52">
        <v>3835</v>
      </c>
      <c r="W24" s="71">
        <v>10</v>
      </c>
      <c r="X24" s="71">
        <v>-2.9</v>
      </c>
      <c r="Y24" s="60">
        <v>-4.8</v>
      </c>
      <c r="Z24" s="60">
        <v>-1</v>
      </c>
      <c r="AA24" s="61">
        <v>0.95</v>
      </c>
      <c r="AB24" s="61"/>
      <c r="AC24" s="66" cm="1">
        <f t="array" ref="AC24">(Z24-Y24)/(3.92)</f>
        <v>0.969387755102041</v>
      </c>
      <c r="AD24" s="67" cm="1">
        <f t="array" ref="AD24">X24-1.96*AC24</f>
        <v>-4.8</v>
      </c>
      <c r="AE24" s="67" cm="1">
        <f t="array" ref="AE24">X24+1.96*AC24</f>
        <v>-1</v>
      </c>
      <c r="AF24" t="s" s="52">
        <v>3875</v>
      </c>
      <c r="AG24" s="63"/>
      <c r="AH24" t="s" s="52">
        <v>3871</v>
      </c>
      <c r="AI24" s="53"/>
    </row>
    <row r="25" ht="75" customHeight="1">
      <c r="A25" t="s" s="46">
        <v>652</v>
      </c>
      <c r="B25" t="s" s="52">
        <v>3881</v>
      </c>
      <c r="C25" t="s" s="52">
        <v>3863</v>
      </c>
      <c r="D25" t="s" s="52">
        <v>3864</v>
      </c>
      <c r="E25" t="s" s="52">
        <v>3865</v>
      </c>
      <c r="F25" t="s" s="52">
        <v>3866</v>
      </c>
      <c r="G25" t="s" s="52">
        <v>3867</v>
      </c>
      <c r="H25" t="s" s="52">
        <v>3815</v>
      </c>
      <c r="I25" t="s" s="52">
        <v>3876</v>
      </c>
      <c r="J25" t="s" s="52">
        <v>3868</v>
      </c>
      <c r="K25" t="s" s="52">
        <v>3872</v>
      </c>
      <c r="L25" s="54">
        <v>7</v>
      </c>
      <c r="M25" t="s" s="55">
        <v>3819</v>
      </c>
      <c r="N25" s="56">
        <v>86.7</v>
      </c>
      <c r="O25" t="s" s="52">
        <v>3820</v>
      </c>
      <c r="P25" t="s" s="52">
        <v>3879</v>
      </c>
      <c r="Q25" t="s" s="52">
        <v>3882</v>
      </c>
      <c r="R25" t="s" s="55">
        <v>3819</v>
      </c>
      <c r="S25" s="56">
        <v>14.4</v>
      </c>
      <c r="T25" t="s" s="55">
        <v>3822</v>
      </c>
      <c r="U25" t="s" s="68">
        <v>3850</v>
      </c>
      <c r="V25" t="s" s="52">
        <v>3835</v>
      </c>
      <c r="W25" s="71">
        <v>10</v>
      </c>
      <c r="X25" s="71">
        <v>-3.3</v>
      </c>
      <c r="Y25" s="60">
        <v>-5.4</v>
      </c>
      <c r="Z25" s="60">
        <v>-1.1</v>
      </c>
      <c r="AA25" s="61">
        <v>0.95</v>
      </c>
      <c r="AB25" s="61"/>
      <c r="AC25" s="66" cm="1">
        <f t="array" ref="AC25">(Z25-Y25)/(3.92)</f>
        <v>1.0969387755102</v>
      </c>
      <c r="AD25" s="67" cm="1">
        <f t="array" ref="AD25">X25-1.96*AC25</f>
        <v>-5.44999999999999</v>
      </c>
      <c r="AE25" s="67" cm="1">
        <f t="array" ref="AE25">X25+1.96*AC25</f>
        <v>-1.15000000000001</v>
      </c>
      <c r="AF25" t="s" s="52">
        <v>3875</v>
      </c>
      <c r="AG25" s="63"/>
      <c r="AH25" t="s" s="52">
        <v>3871</v>
      </c>
      <c r="AI25" s="53"/>
    </row>
    <row r="26" ht="105" customHeight="1">
      <c r="A26" t="s" s="46">
        <v>687</v>
      </c>
      <c r="B26" t="s" s="52">
        <v>3883</v>
      </c>
      <c r="C26" t="s" s="52">
        <v>3884</v>
      </c>
      <c r="D26" t="s" s="52">
        <v>3864</v>
      </c>
      <c r="E26" s="53"/>
      <c r="F26" t="s" s="52">
        <v>3813</v>
      </c>
      <c r="G26" t="s" s="52">
        <v>3885</v>
      </c>
      <c r="H26" t="s" s="52">
        <v>3815</v>
      </c>
      <c r="I26" s="54">
        <v>495</v>
      </c>
      <c r="J26" t="s" s="52">
        <v>3816</v>
      </c>
      <c r="K26" t="s" s="52">
        <v>3886</v>
      </c>
      <c r="L26" s="54">
        <v>7</v>
      </c>
      <c r="M26" s="72"/>
      <c r="N26" s="72"/>
      <c r="O26" t="s" s="52">
        <v>3820</v>
      </c>
      <c r="P26" t="s" s="52">
        <v>3821</v>
      </c>
      <c r="Q26" s="53"/>
      <c r="R26" t="s" s="55">
        <v>3819</v>
      </c>
      <c r="S26" s="56">
        <v>5</v>
      </c>
      <c r="T26" t="s" s="55">
        <v>3822</v>
      </c>
      <c r="U26" t="s" s="68">
        <v>3850</v>
      </c>
      <c r="V26" t="s" s="52">
        <v>3835</v>
      </c>
      <c r="W26" s="71">
        <v>1</v>
      </c>
      <c r="X26" s="59">
        <v>-0.19</v>
      </c>
      <c r="Y26" t="s" s="76">
        <v>3814</v>
      </c>
      <c r="Z26" t="s" s="76">
        <v>3814</v>
      </c>
      <c r="AA26" s="61"/>
      <c r="AB26" t="s" s="77">
        <v>3887</v>
      </c>
      <c r="AC26" s="66"/>
      <c r="AD26" s="67"/>
      <c r="AE26" s="67"/>
      <c r="AF26" t="s" s="52">
        <v>3888</v>
      </c>
      <c r="AG26" s="63"/>
      <c r="AH26" t="s" s="70">
        <v>3889</v>
      </c>
      <c r="AI26" s="53"/>
    </row>
    <row r="27" ht="60" customHeight="1">
      <c r="A27" t="s" s="46">
        <v>780</v>
      </c>
      <c r="B27" t="s" s="52">
        <v>3890</v>
      </c>
      <c r="C27" t="s" s="52">
        <v>3891</v>
      </c>
      <c r="D27" t="s" s="52">
        <v>3892</v>
      </c>
      <c r="E27" s="53"/>
      <c r="F27" t="s" s="52">
        <v>3893</v>
      </c>
      <c r="G27" t="s" s="52">
        <v>3894</v>
      </c>
      <c r="H27" s="53"/>
      <c r="I27" s="54">
        <v>1355</v>
      </c>
      <c r="J27" t="s" s="52">
        <v>3816</v>
      </c>
      <c r="K27" t="s" s="52">
        <v>3895</v>
      </c>
      <c r="L27" t="s" s="52">
        <v>3896</v>
      </c>
      <c r="M27" t="s" s="55">
        <v>3819</v>
      </c>
      <c r="N27" s="56" cm="1">
        <f t="array" ref="N27">(115.3*151/(151+221+230+142+349+170+230))+(87*221/(151+221+230+142+349+170+230))+(88.7*230/(151+221+230+142+349+170+230))+(108.1*142/(151+221+230+142+349+170+230))+(105.9*349/(151+221+230+142+349+170+230))+(85.2*170/(151+221+230+142+349+170+230))+(74.3*230/(151+221+230+142+349+170+230))</f>
        <v>94.3875418620228</v>
      </c>
      <c r="O27" t="s" s="52">
        <v>3820</v>
      </c>
      <c r="P27" t="s" s="52">
        <v>3821</v>
      </c>
      <c r="Q27" s="53"/>
      <c r="R27" t="s" s="55">
        <v>3819</v>
      </c>
      <c r="S27" s="56" cm="1">
        <f t="array" ref="S27">(4.8*134/(134+221+143+142+322+163+230))+(7.3*221/(134+221+143+142+322+163+230))+(14.2*143/(134+221+143+142+322+163+230))+(7.1*142/(134+221+143+142+322+163+230))+(12.5*322/(134+221+143+142+322+163+230))+(4.2*163/(134+221+143+142+322+163+230))+(15.3*230/(134+221+143+142+322+163+230))</f>
        <v>9.98073800738007</v>
      </c>
      <c r="T27" t="s" s="55">
        <v>3822</v>
      </c>
      <c r="U27" t="s" s="68">
        <v>3850</v>
      </c>
      <c r="V27" t="s" s="52">
        <v>3835</v>
      </c>
      <c r="W27" s="60">
        <v>1</v>
      </c>
      <c r="X27" s="60">
        <v>-0.173</v>
      </c>
      <c r="Y27" s="60">
        <v>-0.253</v>
      </c>
      <c r="Z27" s="60">
        <v>-0.094</v>
      </c>
      <c r="AA27" s="61">
        <v>0.95</v>
      </c>
      <c r="AB27" t="s" s="65">
        <v>3897</v>
      </c>
      <c r="AC27" s="66" cm="1">
        <f t="array" ref="AC27">(Z27-Y27)/(3.92)</f>
        <v>0.0405612244897959</v>
      </c>
      <c r="AD27" s="67" cm="1">
        <f t="array" ref="AD27">X27-1.96*AC27</f>
        <v>-0.2525</v>
      </c>
      <c r="AE27" s="67" cm="1">
        <f t="array" ref="AE27">X27+1.96*AC27</f>
        <v>-0.0935</v>
      </c>
      <c r="AF27" t="s" s="52">
        <v>3898</v>
      </c>
      <c r="AG27" s="63"/>
      <c r="AH27" t="s" s="52">
        <v>3871</v>
      </c>
      <c r="AI27" s="53"/>
    </row>
    <row r="28" ht="60" customHeight="1">
      <c r="A28" t="s" s="46">
        <v>780</v>
      </c>
      <c r="B28" t="s" s="52">
        <v>3890</v>
      </c>
      <c r="C28" t="s" s="52">
        <v>3891</v>
      </c>
      <c r="D28" t="s" s="52">
        <v>3892</v>
      </c>
      <c r="E28" s="53"/>
      <c r="F28" t="s" s="52">
        <v>3893</v>
      </c>
      <c r="G28" t="s" s="52">
        <v>3894</v>
      </c>
      <c r="H28" s="53"/>
      <c r="I28" s="54">
        <v>1418</v>
      </c>
      <c r="J28" t="s" s="52">
        <v>3816</v>
      </c>
      <c r="K28" t="s" s="52">
        <v>3895</v>
      </c>
      <c r="L28" t="s" s="52">
        <v>3896</v>
      </c>
      <c r="M28" t="s" s="55">
        <v>3819</v>
      </c>
      <c r="N28" s="56" cm="1">
        <f t="array" ref="N28">(115.3*151/(151+221+230+142+349+170+230))+(87*221/(151+221+230+142+349+170+230))+(88.7*230/(151+221+230+142+349+170+230))+(108.1*142/(151+221+230+142+349+170+230))+(105.9*349/(151+221+230+142+349+170+230))+(85.2*170/(151+221+230+142+349+170+230))+(74.3*230/(151+221+230+142+349+170+230))</f>
        <v>94.3875418620228</v>
      </c>
      <c r="O28" t="s" s="52">
        <v>3820</v>
      </c>
      <c r="P28" t="s" s="52">
        <v>3851</v>
      </c>
      <c r="Q28" s="53"/>
      <c r="R28" t="s" s="55">
        <v>3819</v>
      </c>
      <c r="S28" s="56" cm="1">
        <f t="array" ref="S28">(12.2*151/(151+221+165+142+345+170+224))+(21.6*221/(151+221+165+142+345+170+224))+(17.5*165/(151+221+165+142+345+170+224))+(17.5*142/(151+221+165+142+345+170+224))+(26.1*345/(151+221+165+142+345+170+224))+(9.4*170/(151+221+165+142+345+170+224))+(23.1*224/(151+221+165+142+345+170+224))</f>
        <v>19.5805359661495</v>
      </c>
      <c r="T28" t="s" s="55">
        <v>3822</v>
      </c>
      <c r="U28" t="s" s="68">
        <v>3850</v>
      </c>
      <c r="V28" t="s" s="52">
        <v>3835</v>
      </c>
      <c r="W28" s="60">
        <v>1</v>
      </c>
      <c r="X28" s="60">
        <v>-0.08</v>
      </c>
      <c r="Y28" s="60">
        <v>-0.135</v>
      </c>
      <c r="Z28" s="60">
        <v>-0.025</v>
      </c>
      <c r="AA28" s="61">
        <v>0.95</v>
      </c>
      <c r="AB28" s="71">
        <v>0.004</v>
      </c>
      <c r="AC28" s="66" cm="1">
        <f t="array" ref="AC28">(Z28-Y28)/(3.92)</f>
        <v>0.0280612244897959</v>
      </c>
      <c r="AD28" s="67" cm="1">
        <f t="array" ref="AD28">X28-1.96*AC28</f>
        <v>-0.135</v>
      </c>
      <c r="AE28" s="67" cm="1">
        <f t="array" ref="AE28">X28+1.96*AC28</f>
        <v>-0.025</v>
      </c>
      <c r="AF28" t="s" s="52">
        <v>3898</v>
      </c>
      <c r="AG28" s="63"/>
      <c r="AH28" t="s" s="52">
        <v>3899</v>
      </c>
      <c r="AI28" s="53"/>
    </row>
    <row r="29" ht="60" customHeight="1">
      <c r="A29" t="s" s="46">
        <v>780</v>
      </c>
      <c r="B29" t="s" s="52">
        <v>3890</v>
      </c>
      <c r="C29" t="s" s="52">
        <v>3891</v>
      </c>
      <c r="D29" t="s" s="52">
        <v>3892</v>
      </c>
      <c r="E29" s="53"/>
      <c r="F29" t="s" s="52">
        <v>3893</v>
      </c>
      <c r="G29" t="s" s="52">
        <v>3894</v>
      </c>
      <c r="H29" s="53"/>
      <c r="I29" s="54">
        <v>1366</v>
      </c>
      <c r="J29" t="s" s="52">
        <v>3816</v>
      </c>
      <c r="K29" t="s" s="52">
        <v>3895</v>
      </c>
      <c r="L29" t="s" s="52">
        <v>3896</v>
      </c>
      <c r="M29" t="s" s="55">
        <v>3819</v>
      </c>
      <c r="N29" s="56" cm="1">
        <f t="array" ref="N29">(115.3*151/(151+221+230+142+349+170+230))+(87*221/(151+221+230+142+349+170+230))+(88.7*230/(151+221+230+142+349+170+230))+(108.1*142/(151+221+230+142+349+170+230))+(105.9*349/(151+221+230+142+349+170+230))+(85.2*170/(151+221+230+142+349+170+230))+(74.3*230/(151+221+230+142+349+170+230))</f>
        <v>94.3875418620228</v>
      </c>
      <c r="O29" t="s" s="52">
        <v>3820</v>
      </c>
      <c r="P29" t="s" s="52">
        <v>3900</v>
      </c>
      <c r="Q29" t="s" s="52">
        <v>3901</v>
      </c>
      <c r="R29" t="s" s="55">
        <v>3819</v>
      </c>
      <c r="S29" s="56" cm="1">
        <f t="array" ref="S29">(6.3*151/(151+221+116+140+345+170+223))+(11.9*221/(151+221+116+140+345+170+223))+(11.2*116/(151+221+116+140+345+170+223))+(10.9*140/(151+221+116+140+345+170+223))+(18.2*345/(151+221+116+140+345+170+223))+(5.2*170/(151+221+116+140+345+170+223))+(13.5*223/(151+221+116+140+345+170+223))</f>
        <v>12.1375549048316</v>
      </c>
      <c r="T29" t="s" s="55">
        <v>3822</v>
      </c>
      <c r="U29" t="s" s="68">
        <v>3850</v>
      </c>
      <c r="V29" t="s" s="52">
        <v>3835</v>
      </c>
      <c r="W29" s="60">
        <v>1</v>
      </c>
      <c r="X29" s="60">
        <v>-0.139</v>
      </c>
      <c r="Y29" s="60">
        <v>-0.226</v>
      </c>
      <c r="Z29" s="60">
        <v>-0.052</v>
      </c>
      <c r="AA29" s="61">
        <v>0.95</v>
      </c>
      <c r="AB29" s="71">
        <v>0.002</v>
      </c>
      <c r="AC29" s="66" cm="1">
        <f t="array" ref="AC29">(Z29-Y29)/(3.92)</f>
        <v>0.0443877551020408</v>
      </c>
      <c r="AD29" s="67" cm="1">
        <f t="array" ref="AD29">X29-1.96*AC29</f>
        <v>-0.226</v>
      </c>
      <c r="AE29" s="67" cm="1">
        <f t="array" ref="AE29">X29+1.96*AC29</f>
        <v>-0.052</v>
      </c>
      <c r="AF29" t="s" s="52">
        <v>3898</v>
      </c>
      <c r="AG29" s="63"/>
      <c r="AH29" t="s" s="52">
        <v>3899</v>
      </c>
      <c r="AI29" s="53"/>
    </row>
    <row r="30" ht="60" customHeight="1">
      <c r="A30" t="s" s="46">
        <v>780</v>
      </c>
      <c r="B30" t="s" s="52">
        <v>3890</v>
      </c>
      <c r="C30" t="s" s="52">
        <v>3891</v>
      </c>
      <c r="D30" t="s" s="52">
        <v>3892</v>
      </c>
      <c r="E30" s="53"/>
      <c r="F30" t="s" s="52">
        <v>3893</v>
      </c>
      <c r="G30" t="s" s="52">
        <v>3894</v>
      </c>
      <c r="H30" s="53"/>
      <c r="I30" s="54">
        <v>1405</v>
      </c>
      <c r="J30" t="s" s="52">
        <v>3816</v>
      </c>
      <c r="K30" t="s" s="52">
        <v>3895</v>
      </c>
      <c r="L30" t="s" s="52">
        <v>3896</v>
      </c>
      <c r="M30" t="s" s="55">
        <v>3819</v>
      </c>
      <c r="N30" s="56" cm="1">
        <f t="array" ref="N30">(115.3*151/(151+221+230+142+349+170+230))+(87*221/(151+221+230+142+349+170+230))+(88.7*230/(151+221+230+142+349+170+230))+(108.1*142/(151+221+230+142+349+170+230))+(105.9*349/(151+221+230+142+349+170+230))+(85.2*170/(151+221+230+142+349+170+230))+(74.3*230/(151+221+230+142+349+170+230))</f>
        <v>94.3875418620228</v>
      </c>
      <c r="O30" t="s" s="52">
        <v>3820</v>
      </c>
      <c r="P30" t="s" s="52">
        <v>3879</v>
      </c>
      <c r="Q30" s="53"/>
      <c r="R30" t="s" s="55">
        <v>3819</v>
      </c>
      <c r="S30" s="56" cm="1">
        <f t="array" ref="S30">(6*151/(151+221+165+142+340+167+219))+(11.7*221/(151+221+165+142+340+167+219))+(14.1*165/(151+221+165+142+340+167+219))+(9.8*142/(151+221+165+142+340+167+219))+(17.9*340/(151+221+165+142+340+167+219))+(5.8*167/(151+221+165+142+340+167+219))+(16.4*219/(151+221+165+142+340+167+219))</f>
        <v>12.708896797153</v>
      </c>
      <c r="T30" t="s" s="55">
        <v>3822</v>
      </c>
      <c r="U30" t="s" s="68">
        <v>3850</v>
      </c>
      <c r="V30" t="s" s="52">
        <v>3835</v>
      </c>
      <c r="W30" s="60">
        <v>1</v>
      </c>
      <c r="X30" s="60">
        <v>-0.153</v>
      </c>
      <c r="Y30" s="60">
        <v>-0.234</v>
      </c>
      <c r="Z30" s="60">
        <v>-0.07199999999999999</v>
      </c>
      <c r="AA30" s="61">
        <v>0.95</v>
      </c>
      <c r="AB30" s="71">
        <v>0.0002</v>
      </c>
      <c r="AC30" s="66" cm="1">
        <f t="array" ref="AC30">(Z30-Y30)/(3.92)</f>
        <v>0.0413265306122449</v>
      </c>
      <c r="AD30" s="67" cm="1">
        <f t="array" ref="AD30">X30-1.96*AC30</f>
        <v>-0.234</v>
      </c>
      <c r="AE30" s="67" cm="1">
        <f t="array" ref="AE30">X30+1.96*AC30</f>
        <v>-0.07199999999999999</v>
      </c>
      <c r="AF30" t="s" s="52">
        <v>3898</v>
      </c>
      <c r="AG30" s="63"/>
      <c r="AH30" t="s" s="52">
        <v>3899</v>
      </c>
      <c r="AI30" s="53"/>
    </row>
    <row r="31" ht="60" customHeight="1">
      <c r="A31" t="s" s="46">
        <v>780</v>
      </c>
      <c r="B31" t="s" s="52">
        <v>3890</v>
      </c>
      <c r="C31" t="s" s="52">
        <v>3891</v>
      </c>
      <c r="D31" t="s" s="52">
        <v>3892</v>
      </c>
      <c r="E31" s="53"/>
      <c r="F31" t="s" s="52">
        <v>3893</v>
      </c>
      <c r="G31" t="s" s="52">
        <v>3894</v>
      </c>
      <c r="H31" s="53"/>
      <c r="I31" s="54">
        <v>1301</v>
      </c>
      <c r="J31" t="s" s="52">
        <v>3816</v>
      </c>
      <c r="K31" t="s" s="52">
        <v>3895</v>
      </c>
      <c r="L31" t="s" s="52">
        <v>3896</v>
      </c>
      <c r="M31" t="s" s="55">
        <v>3819</v>
      </c>
      <c r="N31" s="56" cm="1">
        <f t="array" ref="N31">(115.3*151/(151+221+230+142+349+170+230))+(87*221/(151+221+230+142+349+170+230))+(88.7*230/(151+221+230+142+349+170+230))+(108.1*142/(151+221+230+142+349+170+230))+(105.9*349/(151+221+230+142+349+170+230))+(85.2*170/(151+221+230+142+349+170+230))+(74.3*230/(151+221+230+142+349+170+230))</f>
        <v>94.3875418620228</v>
      </c>
      <c r="O31" t="s" s="52">
        <v>3820</v>
      </c>
      <c r="P31" t="s" s="52">
        <v>3877</v>
      </c>
      <c r="Q31" t="s" s="52">
        <v>3902</v>
      </c>
      <c r="R31" t="s" s="55">
        <v>3819</v>
      </c>
      <c r="S31" s="56" cm="1">
        <f t="array" ref="S31">(4.8*147/(147+221+129+126+342+159+174))+(15.7*221/(147+221+129+126+342+159+174))+(16*129/(147+221+129+126+342+159+174))+(11.1*126/(147+221+129+126+342+159+174))+(22.7*342/(147+221+129+126+342+159+174))+(7.6*159/(147+221+129+126+342+159+174))+(17.8*174/(147+221+129+126+342+159+174))</f>
        <v>15.1825115562404</v>
      </c>
      <c r="T31" t="s" s="55">
        <v>3822</v>
      </c>
      <c r="U31" t="s" s="68">
        <v>3850</v>
      </c>
      <c r="V31" t="s" s="52">
        <v>3835</v>
      </c>
      <c r="W31" s="60">
        <v>1</v>
      </c>
      <c r="X31" s="60">
        <v>-0.079</v>
      </c>
      <c r="Y31" s="60">
        <v>-0.146</v>
      </c>
      <c r="Z31" s="60">
        <v>-0.011</v>
      </c>
      <c r="AA31" s="61">
        <v>0.95</v>
      </c>
      <c r="AB31" s="71">
        <v>0.023</v>
      </c>
      <c r="AC31" s="66" cm="1">
        <f t="array" ref="AC31">(Z31-Y31)/(3.92)</f>
        <v>0.0344387755102041</v>
      </c>
      <c r="AD31" s="67" cm="1">
        <f t="array" ref="AD31">X31-1.96*AC31</f>
        <v>-0.1465</v>
      </c>
      <c r="AE31" s="67" cm="1">
        <f t="array" ref="AE31">X31+1.96*AC31</f>
        <v>-0.0115</v>
      </c>
      <c r="AF31" t="s" s="52">
        <v>3898</v>
      </c>
      <c r="AG31" s="63"/>
      <c r="AH31" t="s" s="52">
        <v>3899</v>
      </c>
      <c r="AI31" s="53"/>
    </row>
    <row r="32" ht="60" customHeight="1">
      <c r="A32" t="s" s="46">
        <v>780</v>
      </c>
      <c r="B32" t="s" s="52">
        <v>3890</v>
      </c>
      <c r="C32" t="s" s="52">
        <v>3891</v>
      </c>
      <c r="D32" t="s" s="52">
        <v>3892</v>
      </c>
      <c r="E32" s="53"/>
      <c r="F32" t="s" s="52">
        <v>3893</v>
      </c>
      <c r="G32" t="s" s="52">
        <v>3894</v>
      </c>
      <c r="H32" s="53"/>
      <c r="I32" s="54">
        <v>1355</v>
      </c>
      <c r="J32" t="s" s="52">
        <v>3816</v>
      </c>
      <c r="K32" t="s" s="52">
        <v>3895</v>
      </c>
      <c r="L32" t="s" s="52">
        <v>3896</v>
      </c>
      <c r="M32" t="s" s="55">
        <v>3819</v>
      </c>
      <c r="N32" s="56" cm="1">
        <f t="array" ref="N32">(115.3*151/(151+221+230+142+349+170+230))+(87*221/(151+221+230+142+349+170+230))+(88.7*230/(151+221+230+142+349+170+230))+(108.1*142/(151+221+230+142+349+170+230))+(105.9*349/(151+221+230+142+349+170+230))+(85.2*170/(151+221+230+142+349+170+230))+(74.3*230/(151+221+230+142+349+170+230))</f>
        <v>94.3875418620228</v>
      </c>
      <c r="O32" t="s" s="52">
        <v>3820</v>
      </c>
      <c r="P32" t="s" s="52">
        <v>3821</v>
      </c>
      <c r="Q32" s="53"/>
      <c r="R32" t="s" s="55">
        <v>3819</v>
      </c>
      <c r="S32" s="56" cm="1">
        <f t="array" ref="S32">(4.8*134/(134+221+143+142+322+163+230))+(7.3*221/(134+221+143+142+322+163+230))+(14.2*143/(134+221+143+142+322+163+230))+(7.1*142/(134+221+143+142+322+163+230))+(12.5*322/(134+221+143+142+322+163+230))+(4.2*163/(134+221+143+142+322+163+230))+(15.3*230/(134+221+143+142+322+163+230))</f>
        <v>9.98073800738007</v>
      </c>
      <c r="T32" t="s" s="55">
        <v>3822</v>
      </c>
      <c r="U32" t="s" s="52">
        <v>3903</v>
      </c>
      <c r="V32" t="s" s="52">
        <v>3835</v>
      </c>
      <c r="W32" s="60">
        <v>1</v>
      </c>
      <c r="X32" s="60">
        <v>-3.315</v>
      </c>
      <c r="Y32" s="60">
        <v>-4.546</v>
      </c>
      <c r="Z32" s="60">
        <v>-2.084</v>
      </c>
      <c r="AA32" s="61">
        <v>0.95</v>
      </c>
      <c r="AB32" t="s" s="65">
        <v>3897</v>
      </c>
      <c r="AC32" s="66" cm="1">
        <f t="array" ref="AC32">(Z32-Y32)/(3.92)</f>
        <v>0.628061224489796</v>
      </c>
      <c r="AD32" s="67" cm="1">
        <f t="array" ref="AD32">X32-1.96*AC32</f>
        <v>-4.546</v>
      </c>
      <c r="AE32" s="67" cm="1">
        <f t="array" ref="AE32">X32+1.96*AC32</f>
        <v>-2.084</v>
      </c>
      <c r="AF32" t="s" s="52">
        <v>3898</v>
      </c>
      <c r="AG32" s="63"/>
      <c r="AH32" s="53"/>
      <c r="AI32" t="s" s="52">
        <v>277</v>
      </c>
    </row>
    <row r="33" ht="60" customHeight="1">
      <c r="A33" t="s" s="46">
        <v>780</v>
      </c>
      <c r="B33" t="s" s="52">
        <v>3890</v>
      </c>
      <c r="C33" t="s" s="52">
        <v>3891</v>
      </c>
      <c r="D33" t="s" s="52">
        <v>3892</v>
      </c>
      <c r="E33" s="53"/>
      <c r="F33" t="s" s="52">
        <v>3893</v>
      </c>
      <c r="G33" t="s" s="52">
        <v>3894</v>
      </c>
      <c r="H33" s="53"/>
      <c r="I33" s="54">
        <v>1418</v>
      </c>
      <c r="J33" t="s" s="52">
        <v>3816</v>
      </c>
      <c r="K33" t="s" s="52">
        <v>3895</v>
      </c>
      <c r="L33" t="s" s="52">
        <v>3896</v>
      </c>
      <c r="M33" t="s" s="55">
        <v>3819</v>
      </c>
      <c r="N33" s="56" cm="1">
        <f t="array" ref="N33">(115.3*151/(151+221+230+142+349+170+230))+(87*221/(151+221+230+142+349+170+230))+(88.7*230/(151+221+230+142+349+170+230))+(108.1*142/(151+221+230+142+349+170+230))+(105.9*349/(151+221+230+142+349+170+230))+(85.2*170/(151+221+230+142+349+170+230))+(74.3*230/(151+221+230+142+349+170+230))</f>
        <v>94.3875418620228</v>
      </c>
      <c r="O33" t="s" s="52">
        <v>3820</v>
      </c>
      <c r="P33" t="s" s="52">
        <v>3851</v>
      </c>
      <c r="Q33" s="53"/>
      <c r="R33" t="s" s="55">
        <v>3819</v>
      </c>
      <c r="S33" s="56" cm="1">
        <f t="array" ref="S33">(12.2*151/(151+221+165+142+345+170+224))+(21.6*221/(151+221+165+142+345+170+224))+(17.5*165/(151+221+165+142+345+170+224))+(17.5*142/(151+221+165+142+345+170+224))+(26.1*345/(151+221+165+142+345+170+224))+(9.4*170/(151+221+165+142+345+170+224))+(23.1*224/(151+221+165+142+345+170+224))</f>
        <v>19.5805359661495</v>
      </c>
      <c r="T33" t="s" s="55">
        <v>3822</v>
      </c>
      <c r="U33" t="s" s="52">
        <v>3903</v>
      </c>
      <c r="V33" t="s" s="52">
        <v>3835</v>
      </c>
      <c r="W33" s="60">
        <v>1</v>
      </c>
      <c r="X33" s="60">
        <v>-2.484</v>
      </c>
      <c r="Y33" s="60">
        <v>-3.825</v>
      </c>
      <c r="Z33" s="60">
        <v>-1.142</v>
      </c>
      <c r="AA33" s="61">
        <v>0.95</v>
      </c>
      <c r="AB33" s="71">
        <v>0.0003</v>
      </c>
      <c r="AC33" s="66" cm="1">
        <f t="array" ref="AC33">(Z33-Y33)/(3.92)</f>
        <v>0.684438775510204</v>
      </c>
      <c r="AD33" s="67" cm="1">
        <f t="array" ref="AD33">X33-1.96*AC33</f>
        <v>-3.8255</v>
      </c>
      <c r="AE33" s="67" cm="1">
        <f t="array" ref="AE33">X33+1.96*AC33</f>
        <v>-1.1425</v>
      </c>
      <c r="AF33" t="s" s="52">
        <v>3898</v>
      </c>
      <c r="AG33" s="63"/>
      <c r="AH33" t="s" s="52">
        <v>3899</v>
      </c>
      <c r="AI33" s="53"/>
    </row>
    <row r="34" ht="60" customHeight="1">
      <c r="A34" t="s" s="46">
        <v>780</v>
      </c>
      <c r="B34" t="s" s="52">
        <v>3890</v>
      </c>
      <c r="C34" t="s" s="52">
        <v>3891</v>
      </c>
      <c r="D34" t="s" s="52">
        <v>3892</v>
      </c>
      <c r="E34" s="53"/>
      <c r="F34" t="s" s="52">
        <v>3893</v>
      </c>
      <c r="G34" t="s" s="52">
        <v>3894</v>
      </c>
      <c r="H34" s="53"/>
      <c r="I34" s="54">
        <v>1366</v>
      </c>
      <c r="J34" t="s" s="52">
        <v>3816</v>
      </c>
      <c r="K34" t="s" s="52">
        <v>3895</v>
      </c>
      <c r="L34" t="s" s="52">
        <v>3896</v>
      </c>
      <c r="M34" t="s" s="55">
        <v>3819</v>
      </c>
      <c r="N34" s="56" cm="1">
        <f t="array" ref="N34">(115.3*151/(151+221+230+142+349+170+230))+(87*221/(151+221+230+142+349+170+230))+(88.7*230/(151+221+230+142+349+170+230))+(108.1*142/(151+221+230+142+349+170+230))+(105.9*349/(151+221+230+142+349+170+230))+(85.2*170/(151+221+230+142+349+170+230))+(74.3*230/(151+221+230+142+349+170+230))</f>
        <v>94.3875418620228</v>
      </c>
      <c r="O34" t="s" s="52">
        <v>3820</v>
      </c>
      <c r="P34" t="s" s="52">
        <v>3900</v>
      </c>
      <c r="Q34" t="s" s="52">
        <v>3901</v>
      </c>
      <c r="R34" t="s" s="55">
        <v>3819</v>
      </c>
      <c r="S34" s="56" cm="1">
        <f t="array" ref="S34">(6.3*151/(151+221+116+140+345+170+223))+(11.9*221/(151+221+116+140+345+170+223))+(11.2*116/(151+221+116+140+345+170+223))+(10.9*140/(151+221+116+140+345+170+223))+(18.2*345/(151+221+116+140+345+170+223))+(5.2*170/(151+221+116+140+345+170+223))+(13.5*223/(151+221+116+140+345+170+223))</f>
        <v>12.1375549048316</v>
      </c>
      <c r="T34" t="s" s="55">
        <v>3822</v>
      </c>
      <c r="U34" t="s" s="52">
        <v>3903</v>
      </c>
      <c r="V34" t="s" s="52">
        <v>3835</v>
      </c>
      <c r="W34" s="60">
        <v>1</v>
      </c>
      <c r="X34" s="60">
        <v>-2.459</v>
      </c>
      <c r="Y34" s="60">
        <v>-3.817</v>
      </c>
      <c r="Z34" s="60">
        <v>-1.102</v>
      </c>
      <c r="AA34" s="61">
        <v>0.95</v>
      </c>
      <c r="AB34" s="71">
        <v>0.0004</v>
      </c>
      <c r="AC34" s="66" cm="1">
        <f t="array" ref="AC34">(Z34-Y34)/(3.92)</f>
        <v>0.692602040816327</v>
      </c>
      <c r="AD34" s="67" cm="1">
        <f t="array" ref="AD34">X34-1.96*AC34</f>
        <v>-3.8165</v>
      </c>
      <c r="AE34" s="67" cm="1">
        <f t="array" ref="AE34">X34+1.96*AC34</f>
        <v>-1.1015</v>
      </c>
      <c r="AF34" t="s" s="52">
        <v>3898</v>
      </c>
      <c r="AG34" s="63"/>
      <c r="AH34" t="s" s="52">
        <v>3899</v>
      </c>
      <c r="AI34" s="53"/>
    </row>
    <row r="35" ht="60" customHeight="1">
      <c r="A35" t="s" s="46">
        <v>780</v>
      </c>
      <c r="B35" t="s" s="52">
        <v>3890</v>
      </c>
      <c r="C35" t="s" s="52">
        <v>3891</v>
      </c>
      <c r="D35" t="s" s="52">
        <v>3892</v>
      </c>
      <c r="E35" s="53"/>
      <c r="F35" t="s" s="52">
        <v>3893</v>
      </c>
      <c r="G35" t="s" s="52">
        <v>3894</v>
      </c>
      <c r="H35" s="53"/>
      <c r="I35" s="54">
        <v>1405</v>
      </c>
      <c r="J35" t="s" s="52">
        <v>3816</v>
      </c>
      <c r="K35" t="s" s="52">
        <v>3895</v>
      </c>
      <c r="L35" t="s" s="52">
        <v>3896</v>
      </c>
      <c r="M35" t="s" s="55">
        <v>3819</v>
      </c>
      <c r="N35" s="56" cm="1">
        <f t="array" ref="N35">(115.3*151/(151+221+230+142+349+170+230))+(87*221/(151+221+230+142+349+170+230))+(88.7*230/(151+221+230+142+349+170+230))+(108.1*142/(151+221+230+142+349+170+230))+(105.9*349/(151+221+230+142+349+170+230))+(85.2*170/(151+221+230+142+349+170+230))+(74.3*230/(151+221+230+142+349+170+230))</f>
        <v>94.3875418620228</v>
      </c>
      <c r="O35" t="s" s="52">
        <v>3820</v>
      </c>
      <c r="P35" t="s" s="52">
        <v>3879</v>
      </c>
      <c r="Q35" s="53"/>
      <c r="R35" t="s" s="55">
        <v>3819</v>
      </c>
      <c r="S35" s="56" cm="1">
        <f t="array" ref="S35">(6*151/(151+221+165+142+340+167+219))+(11.7*221/(151+221+165+142+340+167+219))+(14.1*165/(151+221+165+142+340+167+219))+(9.8*142/(151+221+165+142+340+167+219))+(17.9*340/(151+221+165+142+340+167+219))+(5.8*167/(151+221+165+142+340+167+219))+(16.4*219/(151+221+165+142+340+167+219))</f>
        <v>12.708896797153</v>
      </c>
      <c r="T35" t="s" s="55">
        <v>3822</v>
      </c>
      <c r="U35" t="s" s="52">
        <v>3903</v>
      </c>
      <c r="V35" t="s" s="52">
        <v>3835</v>
      </c>
      <c r="W35" s="60">
        <v>1</v>
      </c>
      <c r="X35" s="60">
        <v>-3.246</v>
      </c>
      <c r="Y35" s="60">
        <v>-4.659</v>
      </c>
      <c r="Z35" s="60">
        <v>-1.833</v>
      </c>
      <c r="AA35" s="61">
        <v>0.95</v>
      </c>
      <c r="AB35" t="s" s="65">
        <v>3897</v>
      </c>
      <c r="AC35" s="66" cm="1">
        <f t="array" ref="AC35">(Z35-Y35)/(3.92)</f>
        <v>0.720918367346939</v>
      </c>
      <c r="AD35" s="67" cm="1">
        <f t="array" ref="AD35">X35-1.96*AC35</f>
        <v>-4.659</v>
      </c>
      <c r="AE35" s="67" cm="1">
        <f t="array" ref="AE35">X35+1.96*AC35</f>
        <v>-1.833</v>
      </c>
      <c r="AF35" t="s" s="52">
        <v>3898</v>
      </c>
      <c r="AG35" s="63"/>
      <c r="AH35" t="s" s="52">
        <v>3899</v>
      </c>
      <c r="AI35" s="53"/>
    </row>
    <row r="36" ht="60" customHeight="1">
      <c r="A36" t="s" s="46">
        <v>780</v>
      </c>
      <c r="B36" t="s" s="52">
        <v>3890</v>
      </c>
      <c r="C36" t="s" s="52">
        <v>3891</v>
      </c>
      <c r="D36" t="s" s="52">
        <v>3892</v>
      </c>
      <c r="E36" s="53"/>
      <c r="F36" t="s" s="52">
        <v>3893</v>
      </c>
      <c r="G36" t="s" s="52">
        <v>3894</v>
      </c>
      <c r="H36" s="53"/>
      <c r="I36" s="54">
        <v>1301</v>
      </c>
      <c r="J36" t="s" s="52">
        <v>3816</v>
      </c>
      <c r="K36" t="s" s="52">
        <v>3895</v>
      </c>
      <c r="L36" t="s" s="52">
        <v>3896</v>
      </c>
      <c r="M36" t="s" s="55">
        <v>3819</v>
      </c>
      <c r="N36" s="56" cm="1">
        <f t="array" ref="N36">(115.3*151/(151+221+230+142+349+170+230))+(87*221/(151+221+230+142+349+170+230))+(88.7*230/(151+221+230+142+349+170+230))+(108.1*142/(151+221+230+142+349+170+230))+(105.9*349/(151+221+230+142+349+170+230))+(85.2*170/(151+221+230+142+349+170+230))+(74.3*230/(151+221+230+142+349+170+230))</f>
        <v>94.3875418620228</v>
      </c>
      <c r="O36" t="s" s="52">
        <v>3820</v>
      </c>
      <c r="P36" t="s" s="52">
        <v>3877</v>
      </c>
      <c r="Q36" t="s" s="52">
        <v>3902</v>
      </c>
      <c r="R36" t="s" s="55">
        <v>3819</v>
      </c>
      <c r="S36" s="56" cm="1">
        <f t="array" ref="S36">(4.8*147/(147+221+129+126+342+159+174))+(15.7*221/(147+221+129+126+342+159+174))+(16*129/(147+221+129+126+342+159+174))+(11.1*126/(147+221+129+126+342+159+174))+(22.7*342/(147+221+129+126+342+159+174))+(7.6*159/(147+221+129+126+342+159+174))+(17.8*174/(147+221+129+126+342+159+174))</f>
        <v>15.1825115562404</v>
      </c>
      <c r="T36" t="s" s="55">
        <v>3822</v>
      </c>
      <c r="U36" t="s" s="52">
        <v>3903</v>
      </c>
      <c r="V36" t="s" s="52">
        <v>3835</v>
      </c>
      <c r="W36" s="60">
        <v>1</v>
      </c>
      <c r="X36" s="60">
        <v>-1.955</v>
      </c>
      <c r="Y36" s="60">
        <v>-3.193</v>
      </c>
      <c r="Z36" s="60">
        <v>-0.717</v>
      </c>
      <c r="AA36" s="61">
        <v>0.95</v>
      </c>
      <c r="AB36" s="71">
        <v>0.002</v>
      </c>
      <c r="AC36" s="66" cm="1">
        <f t="array" ref="AC36">(Z36-Y36)/(3.92)</f>
        <v>0.631632653061224</v>
      </c>
      <c r="AD36" s="67" cm="1">
        <f t="array" ref="AD36">X36-1.96*AC36</f>
        <v>-3.193</v>
      </c>
      <c r="AE36" s="67" cm="1">
        <f t="array" ref="AE36">X36+1.96*AC36</f>
        <v>-0.717000000000001</v>
      </c>
      <c r="AF36" t="s" s="52">
        <v>3898</v>
      </c>
      <c r="AG36" s="63"/>
      <c r="AH36" t="s" s="52">
        <v>3899</v>
      </c>
      <c r="AI36" s="53"/>
    </row>
    <row r="37" ht="60" customHeight="1">
      <c r="A37" t="s" s="46">
        <v>805</v>
      </c>
      <c r="B37" t="s" s="52">
        <v>3904</v>
      </c>
      <c r="C37" t="s" s="52">
        <v>3905</v>
      </c>
      <c r="D37" t="s" s="52">
        <v>3864</v>
      </c>
      <c r="E37" t="s" s="52">
        <v>3865</v>
      </c>
      <c r="F37" t="s" s="52">
        <v>3906</v>
      </c>
      <c r="G37" t="s" s="52">
        <v>3814</v>
      </c>
      <c r="H37" t="s" s="52">
        <v>3815</v>
      </c>
      <c r="I37" t="s" s="52">
        <v>3907</v>
      </c>
      <c r="J37" t="s" s="52">
        <v>3868</v>
      </c>
      <c r="K37" t="s" s="52">
        <v>3831</v>
      </c>
      <c r="L37" s="54">
        <v>12</v>
      </c>
      <c r="M37" t="s" s="55">
        <v>3819</v>
      </c>
      <c r="N37" s="56">
        <v>101.6</v>
      </c>
      <c r="O37" t="s" s="52">
        <v>3908</v>
      </c>
      <c r="P37" t="s" s="78">
        <v>3821</v>
      </c>
      <c r="Q37" s="53"/>
      <c r="R37" t="s" s="55">
        <v>3819</v>
      </c>
      <c r="S37" s="56">
        <v>0.66</v>
      </c>
      <c r="T37" t="s" s="55">
        <v>3909</v>
      </c>
      <c r="U37" t="s" s="52">
        <v>3910</v>
      </c>
      <c r="V37" t="s" s="52">
        <v>3835</v>
      </c>
      <c r="W37" s="60">
        <v>-1.7</v>
      </c>
      <c r="X37" s="60">
        <v>-4.27</v>
      </c>
      <c r="Y37" s="60">
        <v>-0.862</v>
      </c>
      <c r="Z37" s="60">
        <v>0.95</v>
      </c>
      <c r="AA37" s="61">
        <v>0.95</v>
      </c>
      <c r="AB37" s="58"/>
      <c r="AC37" t="s" s="65">
        <v>3911</v>
      </c>
      <c r="AD37" s="67"/>
      <c r="AE37" s="67"/>
      <c r="AF37" t="s" s="52">
        <v>3912</v>
      </c>
      <c r="AG37" s="63"/>
      <c r="AH37" t="s" s="52">
        <v>3913</v>
      </c>
      <c r="AI37" s="53"/>
    </row>
    <row r="38" ht="60" customHeight="1">
      <c r="A38" t="s" s="46">
        <v>805</v>
      </c>
      <c r="B38" t="s" s="52">
        <v>3904</v>
      </c>
      <c r="C38" t="s" s="52">
        <v>3905</v>
      </c>
      <c r="D38" t="s" s="52">
        <v>3864</v>
      </c>
      <c r="E38" t="s" s="52">
        <v>3865</v>
      </c>
      <c r="F38" t="s" s="52">
        <v>3906</v>
      </c>
      <c r="G38" t="s" s="52">
        <v>3814</v>
      </c>
      <c r="H38" t="s" s="52">
        <v>3815</v>
      </c>
      <c r="I38" t="s" s="52">
        <v>3914</v>
      </c>
      <c r="J38" t="s" s="52">
        <v>3868</v>
      </c>
      <c r="K38" t="s" s="52">
        <v>3831</v>
      </c>
      <c r="L38" s="54">
        <v>12</v>
      </c>
      <c r="M38" t="s" s="55">
        <v>3819</v>
      </c>
      <c r="N38" s="56">
        <v>101.6</v>
      </c>
      <c r="O38" t="s" s="52">
        <v>3820</v>
      </c>
      <c r="P38" t="s" s="78">
        <v>3821</v>
      </c>
      <c r="Q38" s="53"/>
      <c r="R38" t="s" s="55">
        <v>3819</v>
      </c>
      <c r="S38" s="56">
        <v>0.57</v>
      </c>
      <c r="T38" t="s" s="55">
        <v>3822</v>
      </c>
      <c r="U38" t="s" s="52">
        <v>3910</v>
      </c>
      <c r="V38" t="s" s="52">
        <v>3835</v>
      </c>
      <c r="W38" t="s" s="65">
        <v>3915</v>
      </c>
      <c r="X38" s="60">
        <v>-13.15</v>
      </c>
      <c r="Y38" s="60">
        <v>-20.42</v>
      </c>
      <c r="Z38" s="60">
        <v>-5.88</v>
      </c>
      <c r="AA38" s="61">
        <v>0.95</v>
      </c>
      <c r="AB38" s="58"/>
      <c r="AC38" s="66" cm="1">
        <f t="array" ref="AC38">(Z38-Y38)/(3.92)</f>
        <v>3.70918367346939</v>
      </c>
      <c r="AD38" s="67" cm="1">
        <f t="array" ref="AD38">X38-1.96*AC38</f>
        <v>-20.42</v>
      </c>
      <c r="AE38" s="67" cm="1">
        <f t="array" ref="AE38">X38+1.96*AC38</f>
        <v>-5.88</v>
      </c>
      <c r="AF38" t="s" s="52">
        <v>3912</v>
      </c>
      <c r="AG38" s="63"/>
      <c r="AH38" s="53"/>
      <c r="AI38" t="s" s="52">
        <v>277</v>
      </c>
    </row>
    <row r="39" ht="45" customHeight="1">
      <c r="A39" t="s" s="46">
        <v>907</v>
      </c>
      <c r="B39" t="s" s="52">
        <v>3916</v>
      </c>
      <c r="C39" t="s" s="52">
        <v>3917</v>
      </c>
      <c r="D39" t="s" s="52">
        <v>3864</v>
      </c>
      <c r="E39" s="53"/>
      <c r="F39" t="s" s="52">
        <v>3918</v>
      </c>
      <c r="G39" t="s" s="52">
        <v>3919</v>
      </c>
      <c r="H39" s="53"/>
      <c r="I39" s="54">
        <v>606</v>
      </c>
      <c r="J39" s="53"/>
      <c r="K39" t="s" s="52">
        <v>3920</v>
      </c>
      <c r="L39" t="s" s="52">
        <v>3921</v>
      </c>
      <c r="M39" t="s" s="55">
        <v>3819</v>
      </c>
      <c r="N39" s="56">
        <v>107</v>
      </c>
      <c r="O39" t="s" s="52">
        <v>3820</v>
      </c>
      <c r="P39" t="s" s="52">
        <v>3922</v>
      </c>
      <c r="Q39" t="s" s="52">
        <v>3923</v>
      </c>
      <c r="R39" t="s" s="55">
        <v>3819</v>
      </c>
      <c r="S39" s="56">
        <v>0.76</v>
      </c>
      <c r="T39" t="s" s="55">
        <v>3822</v>
      </c>
      <c r="U39" t="s" s="52">
        <v>3924</v>
      </c>
      <c r="V39" t="s" s="52">
        <v>3835</v>
      </c>
      <c r="W39" s="71">
        <v>1</v>
      </c>
      <c r="X39" s="71">
        <v>-0.07000000000000001</v>
      </c>
      <c r="Y39" s="60">
        <v>-0.143</v>
      </c>
      <c r="Z39" s="60">
        <v>0.003</v>
      </c>
      <c r="AA39" s="61">
        <v>0.95</v>
      </c>
      <c r="AB39" s="71">
        <v>0.115</v>
      </c>
      <c r="AC39" s="66" cm="1">
        <f t="array" ref="AC39">(Z39-Y39)/(3.92)</f>
        <v>0.0372448979591837</v>
      </c>
      <c r="AD39" s="67" cm="1">
        <f t="array" ref="AD39">X39-1.96*AC39</f>
        <v>-0.143</v>
      </c>
      <c r="AE39" s="67" cm="1">
        <f t="array" ref="AE39">X39+1.96*AC39</f>
        <v>0.00300000000000005</v>
      </c>
      <c r="AF39" t="s" s="52">
        <v>3925</v>
      </c>
      <c r="AG39" s="63"/>
      <c r="AH39" t="s" s="52">
        <v>3899</v>
      </c>
      <c r="AI39" s="53"/>
    </row>
    <row r="40" ht="75" customHeight="1">
      <c r="A40" t="s" s="46">
        <v>907</v>
      </c>
      <c r="B40" t="s" s="52">
        <v>3916</v>
      </c>
      <c r="C40" t="s" s="52">
        <v>3917</v>
      </c>
      <c r="D40" t="s" s="52">
        <v>3864</v>
      </c>
      <c r="E40" s="53"/>
      <c r="F40" t="s" s="52">
        <v>3918</v>
      </c>
      <c r="G40" t="s" s="52">
        <v>3919</v>
      </c>
      <c r="H40" s="53"/>
      <c r="I40" s="54">
        <v>606</v>
      </c>
      <c r="J40" s="53"/>
      <c r="K40" t="s" s="52">
        <v>3920</v>
      </c>
      <c r="L40" t="s" s="52">
        <v>3921</v>
      </c>
      <c r="M40" t="s" s="55">
        <v>3819</v>
      </c>
      <c r="N40" s="56">
        <v>107</v>
      </c>
      <c r="O40" t="s" s="52">
        <v>3820</v>
      </c>
      <c r="P40" t="s" s="52">
        <v>3821</v>
      </c>
      <c r="Q40" s="53"/>
      <c r="R40" t="s" s="55">
        <v>3819</v>
      </c>
      <c r="S40" s="56">
        <v>0.7</v>
      </c>
      <c r="T40" t="s" s="55">
        <v>3822</v>
      </c>
      <c r="U40" t="s" s="52">
        <v>3924</v>
      </c>
      <c r="V40" t="s" s="52">
        <v>3835</v>
      </c>
      <c r="W40" s="71">
        <v>1</v>
      </c>
      <c r="X40" s="71">
        <v>0.014</v>
      </c>
      <c r="Y40" s="60">
        <v>-0.0701</v>
      </c>
      <c r="Z40" s="60">
        <v>0.098</v>
      </c>
      <c r="AA40" s="61">
        <v>0.95</v>
      </c>
      <c r="AB40" s="71">
        <v>0.795</v>
      </c>
      <c r="AC40" s="66" cm="1">
        <f t="array" ref="AC40">(Z40-Y40)/(3.92)</f>
        <v>0.0428826530612245</v>
      </c>
      <c r="AD40" s="67" cm="1">
        <f t="array" ref="AD40">X40-1.96*AC40</f>
        <v>-0.07005</v>
      </c>
      <c r="AE40" s="67" cm="1">
        <f t="array" ref="AE40">X40+1.96*AC40</f>
        <v>0.09805</v>
      </c>
      <c r="AF40" t="s" s="52">
        <v>3926</v>
      </c>
      <c r="AG40" s="63"/>
      <c r="AH40" s="53"/>
      <c r="AI40" t="s" s="52">
        <v>277</v>
      </c>
    </row>
    <row r="41" ht="75" customHeight="1">
      <c r="A41" t="s" s="46">
        <v>1062</v>
      </c>
      <c r="B41" t="s" s="52">
        <v>3927</v>
      </c>
      <c r="C41" t="s" s="52">
        <v>3928</v>
      </c>
      <c r="D41" t="s" s="52">
        <v>3929</v>
      </c>
      <c r="E41" t="s" s="52">
        <v>3930</v>
      </c>
      <c r="F41" t="s" s="52">
        <v>3931</v>
      </c>
      <c r="G41" t="s" s="52">
        <v>3932</v>
      </c>
      <c r="H41" t="s" s="52">
        <v>3933</v>
      </c>
      <c r="I41" s="54">
        <v>127</v>
      </c>
      <c r="J41" s="53"/>
      <c r="K41" t="s" s="52">
        <v>3934</v>
      </c>
      <c r="L41" t="s" s="52">
        <v>3935</v>
      </c>
      <c r="M41" t="s" s="55">
        <v>3819</v>
      </c>
      <c r="N41" s="56">
        <v>100.5</v>
      </c>
      <c r="O41" t="s" s="52">
        <v>3820</v>
      </c>
      <c r="P41" t="s" s="52">
        <v>3821</v>
      </c>
      <c r="Q41" s="53"/>
      <c r="R41" t="s" s="55">
        <v>3819</v>
      </c>
      <c r="S41" s="56">
        <v>3.9</v>
      </c>
      <c r="T41" t="s" s="55">
        <v>3822</v>
      </c>
      <c r="U41" s="54">
        <v>1</v>
      </c>
      <c r="V41" t="s" s="68">
        <v>3857</v>
      </c>
      <c r="W41" s="58"/>
      <c r="X41" s="58"/>
      <c r="Y41" s="60"/>
      <c r="Z41" s="60"/>
      <c r="AA41" s="61"/>
      <c r="AB41" s="58"/>
      <c r="AC41" s="66"/>
      <c r="AD41" s="67"/>
      <c r="AE41" s="67"/>
      <c r="AF41" t="s" s="52">
        <v>3936</v>
      </c>
      <c r="AG41" s="63"/>
      <c r="AH41" t="s" s="52">
        <v>3937</v>
      </c>
      <c r="AI41" s="53"/>
    </row>
    <row r="42" ht="75" customHeight="1">
      <c r="A42" t="s" s="46">
        <v>1062</v>
      </c>
      <c r="B42" t="s" s="52">
        <v>3927</v>
      </c>
      <c r="C42" t="s" s="52">
        <v>3928</v>
      </c>
      <c r="D42" t="s" s="52">
        <v>3929</v>
      </c>
      <c r="E42" t="s" s="52">
        <v>3930</v>
      </c>
      <c r="F42" t="s" s="52">
        <v>3931</v>
      </c>
      <c r="G42" t="s" s="52">
        <v>3932</v>
      </c>
      <c r="H42" t="s" s="52">
        <v>3933</v>
      </c>
      <c r="I42" s="54">
        <v>127</v>
      </c>
      <c r="J42" s="53"/>
      <c r="K42" t="s" s="52">
        <v>3934</v>
      </c>
      <c r="L42" t="s" s="52">
        <v>3935</v>
      </c>
      <c r="M42" t="s" s="55">
        <v>3819</v>
      </c>
      <c r="N42" s="56">
        <v>100.5</v>
      </c>
      <c r="O42" t="s" s="52">
        <v>3820</v>
      </c>
      <c r="P42" t="s" s="52">
        <v>3821</v>
      </c>
      <c r="Q42" s="53"/>
      <c r="R42" t="s" s="55">
        <v>3819</v>
      </c>
      <c r="S42" s="56">
        <v>3.9</v>
      </c>
      <c r="T42" t="s" s="55">
        <v>3822</v>
      </c>
      <c r="U42" t="s" s="52">
        <v>3910</v>
      </c>
      <c r="V42" t="s" s="52">
        <v>3835</v>
      </c>
      <c r="W42" t="s" s="65">
        <v>3938</v>
      </c>
      <c r="X42" s="71">
        <v>-13.5</v>
      </c>
      <c r="Y42" s="60" cm="1">
        <f t="array" ref="Y42">X42-1.96*AC42</f>
        <v>-23.496</v>
      </c>
      <c r="Z42" s="60" cm="1">
        <f t="array" ref="Z42">X42+1.96*AC42</f>
        <v>-3.504</v>
      </c>
      <c r="AA42" s="61">
        <v>0.95</v>
      </c>
      <c r="AB42" t="s" s="65">
        <v>3939</v>
      </c>
      <c r="AC42" s="59">
        <v>5.1</v>
      </c>
      <c r="AD42" s="67" cm="1">
        <f t="array" ref="AD42">X42-1.96*AC42</f>
        <v>-23.496</v>
      </c>
      <c r="AE42" s="67" cm="1">
        <f t="array" ref="AE42">X42+1.96*AC42</f>
        <v>-3.504</v>
      </c>
      <c r="AF42" t="s" s="52">
        <v>3940</v>
      </c>
      <c r="AG42" s="63"/>
      <c r="AH42" s="53"/>
      <c r="AI42" t="s" s="52">
        <v>277</v>
      </c>
    </row>
    <row r="43" ht="120" customHeight="1">
      <c r="A43" t="s" s="46">
        <v>1405</v>
      </c>
      <c r="B43" t="s" s="52">
        <v>3941</v>
      </c>
      <c r="C43" t="s" s="52">
        <v>3942</v>
      </c>
      <c r="D43" t="s" s="52">
        <v>3943</v>
      </c>
      <c r="E43" t="s" s="52">
        <v>3865</v>
      </c>
      <c r="F43" t="s" s="52">
        <v>3944</v>
      </c>
      <c r="G43" s="53"/>
      <c r="H43" t="s" s="52">
        <v>3945</v>
      </c>
      <c r="I43" s="54">
        <v>326</v>
      </c>
      <c r="J43" t="s" s="52">
        <v>3816</v>
      </c>
      <c r="K43" t="s" s="52">
        <v>3934</v>
      </c>
      <c r="L43" t="s" s="52">
        <v>3946</v>
      </c>
      <c r="M43" t="s" s="55">
        <v>3819</v>
      </c>
      <c r="N43" s="75" cm="1">
        <f t="array" ref="N43">92.6*292/(292+34)+89.3*34/(292+34)</f>
        <v>92.2558282208589</v>
      </c>
      <c r="O43" t="s" s="52">
        <v>3947</v>
      </c>
      <c r="P43" t="s" s="52">
        <v>3922</v>
      </c>
      <c r="Q43" s="53"/>
      <c r="R43" t="s" s="55">
        <v>3819</v>
      </c>
      <c r="S43" s="56">
        <v>1.86</v>
      </c>
      <c r="T43" t="s" s="79">
        <v>3948</v>
      </c>
      <c r="U43" t="s" s="52">
        <v>3834</v>
      </c>
      <c r="V43" t="s" s="52">
        <v>3835</v>
      </c>
      <c r="W43" t="s" s="65">
        <v>3949</v>
      </c>
      <c r="X43" s="71">
        <v>-2.31</v>
      </c>
      <c r="Y43" s="60">
        <v>-4.13</v>
      </c>
      <c r="Z43" s="60">
        <v>-0.48</v>
      </c>
      <c r="AA43" s="61">
        <v>0.95</v>
      </c>
      <c r="AB43" s="71">
        <v>0.013</v>
      </c>
      <c r="AC43" s="66" cm="1">
        <f t="array" ref="AC43">(Z43-Y43)/(3.92)</f>
        <v>0.931122448979592</v>
      </c>
      <c r="AD43" s="67" cm="1">
        <f t="array" ref="AD43">X43-1.96*AC43</f>
        <v>-4.135</v>
      </c>
      <c r="AE43" s="67" cm="1">
        <f t="array" ref="AE43">X43+1.96*AC43</f>
        <v>-0.485</v>
      </c>
      <c r="AF43" t="s" s="52">
        <v>3950</v>
      </c>
      <c r="AG43" s="63"/>
      <c r="AH43" t="s" s="52">
        <v>3899</v>
      </c>
      <c r="AI43" s="53"/>
    </row>
    <row r="44" ht="45" customHeight="1">
      <c r="A44" t="s" s="46">
        <v>1421</v>
      </c>
      <c r="B44" t="s" s="52">
        <v>3951</v>
      </c>
      <c r="C44" t="s" s="52">
        <v>3952</v>
      </c>
      <c r="D44" t="s" s="52">
        <v>3943</v>
      </c>
      <c r="E44" s="53"/>
      <c r="F44" t="s" s="52">
        <v>3953</v>
      </c>
      <c r="G44" t="s" s="52">
        <v>3954</v>
      </c>
      <c r="H44" t="s" s="52">
        <v>3815</v>
      </c>
      <c r="I44" s="54">
        <v>417</v>
      </c>
      <c r="J44" t="s" s="52">
        <v>3816</v>
      </c>
      <c r="K44" t="s" s="52">
        <v>3955</v>
      </c>
      <c r="L44" s="54">
        <v>12</v>
      </c>
      <c r="M44" t="s" s="55">
        <v>3819</v>
      </c>
      <c r="N44" s="56">
        <v>104.25</v>
      </c>
      <c r="O44" t="s" s="52">
        <v>3820</v>
      </c>
      <c r="P44" t="s" s="52">
        <v>3877</v>
      </c>
      <c r="Q44" t="s" s="52">
        <v>3956</v>
      </c>
      <c r="R44" t="s" s="55">
        <v>3819</v>
      </c>
      <c r="S44" s="56">
        <v>6.46</v>
      </c>
      <c r="T44" t="s" s="55">
        <v>3822</v>
      </c>
      <c r="U44" t="s" s="52">
        <v>3850</v>
      </c>
      <c r="V44" t="s" s="52">
        <v>3835</v>
      </c>
      <c r="W44" s="71">
        <v>1</v>
      </c>
      <c r="X44" s="71">
        <v>-0.55</v>
      </c>
      <c r="Y44" s="60" cm="1">
        <f t="array" ref="Y44">X44-1.96*AC44</f>
        <v>-0.9616</v>
      </c>
      <c r="Z44" s="60" cm="1">
        <f t="array" ref="Z44">X44+1.96*AC44</f>
        <v>-0.1384</v>
      </c>
      <c r="AA44" s="61">
        <v>0.95</v>
      </c>
      <c r="AB44" s="58"/>
      <c r="AC44" s="59">
        <v>0.21</v>
      </c>
      <c r="AD44" s="67" cm="1">
        <f t="array" ref="AD44">X44-1.96*AC44</f>
        <v>-0.9616</v>
      </c>
      <c r="AE44" s="67" cm="1">
        <f t="array" ref="AE44">X44+1.96*AC44</f>
        <v>-0.1384</v>
      </c>
      <c r="AF44" t="s" s="52">
        <v>3957</v>
      </c>
      <c r="AG44" s="63"/>
      <c r="AH44" t="s" s="52">
        <v>3871</v>
      </c>
      <c r="AI44" s="53"/>
    </row>
    <row r="45" ht="45" customHeight="1">
      <c r="A45" t="s" s="46">
        <v>1421</v>
      </c>
      <c r="B45" t="s" s="52">
        <v>3951</v>
      </c>
      <c r="C45" t="s" s="52">
        <v>3952</v>
      </c>
      <c r="D45" t="s" s="52">
        <v>3943</v>
      </c>
      <c r="E45" s="53"/>
      <c r="F45" t="s" s="52">
        <v>3953</v>
      </c>
      <c r="G45" t="s" s="52">
        <v>3954</v>
      </c>
      <c r="H45" t="s" s="52">
        <v>3815</v>
      </c>
      <c r="I45" s="54">
        <v>417</v>
      </c>
      <c r="J45" t="s" s="52">
        <v>3816</v>
      </c>
      <c r="K45" t="s" s="52">
        <v>3955</v>
      </c>
      <c r="L45" s="54">
        <v>12</v>
      </c>
      <c r="M45" t="s" s="55">
        <v>3819</v>
      </c>
      <c r="N45" s="56">
        <v>104.25</v>
      </c>
      <c r="O45" t="s" s="52">
        <v>3820</v>
      </c>
      <c r="P45" t="s" s="52">
        <v>3821</v>
      </c>
      <c r="Q45" s="54">
        <v>12</v>
      </c>
      <c r="R45" t="s" s="55">
        <v>3819</v>
      </c>
      <c r="S45" s="56">
        <v>3.11</v>
      </c>
      <c r="T45" t="s" s="55">
        <v>3822</v>
      </c>
      <c r="U45" t="s" s="52">
        <v>3850</v>
      </c>
      <c r="V45" t="s" s="52">
        <v>3835</v>
      </c>
      <c r="W45" s="71">
        <v>1</v>
      </c>
      <c r="X45" s="71">
        <v>-0.61</v>
      </c>
      <c r="Y45" s="60" cm="1">
        <f t="array" ref="Y45">X45-1.96*AC45</f>
        <v>-1.5508</v>
      </c>
      <c r="Z45" s="60" cm="1">
        <f t="array" ref="Z45">X45+1.96*AC45</f>
        <v>0.3308</v>
      </c>
      <c r="AA45" s="61">
        <v>0.95</v>
      </c>
      <c r="AB45" s="58"/>
      <c r="AC45" s="59">
        <v>0.48</v>
      </c>
      <c r="AD45" s="67" cm="1">
        <f t="array" ref="AD45">X45-1.96*AC45</f>
        <v>-1.5508</v>
      </c>
      <c r="AE45" s="67" cm="1">
        <f t="array" ref="AE45">X45+1.96*AC45</f>
        <v>0.3308</v>
      </c>
      <c r="AF45" t="s" s="52">
        <v>3957</v>
      </c>
      <c r="AG45" s="63"/>
      <c r="AH45" t="s" s="52">
        <v>3871</v>
      </c>
      <c r="AI45" s="53"/>
    </row>
    <row r="46" ht="45" customHeight="1">
      <c r="A46" t="s" s="46">
        <v>1421</v>
      </c>
      <c r="B46" t="s" s="52">
        <v>3951</v>
      </c>
      <c r="C46" t="s" s="52">
        <v>3952</v>
      </c>
      <c r="D46" t="s" s="52">
        <v>3943</v>
      </c>
      <c r="E46" s="53"/>
      <c r="F46" t="s" s="52">
        <v>3953</v>
      </c>
      <c r="G46" t="s" s="52">
        <v>3954</v>
      </c>
      <c r="H46" t="s" s="52">
        <v>3815</v>
      </c>
      <c r="I46" s="54">
        <v>417</v>
      </c>
      <c r="J46" t="s" s="52">
        <v>3816</v>
      </c>
      <c r="K46" t="s" s="52">
        <v>3955</v>
      </c>
      <c r="L46" s="54">
        <v>12</v>
      </c>
      <c r="M46" t="s" s="55">
        <v>3819</v>
      </c>
      <c r="N46" s="56">
        <v>104.25</v>
      </c>
      <c r="O46" t="s" s="52">
        <v>3820</v>
      </c>
      <c r="P46" t="s" s="52">
        <v>3877</v>
      </c>
      <c r="Q46" t="s" s="52">
        <v>3956</v>
      </c>
      <c r="R46" t="s" s="55">
        <v>3819</v>
      </c>
      <c r="S46" s="56">
        <v>6.46</v>
      </c>
      <c r="T46" t="s" s="55">
        <v>3822</v>
      </c>
      <c r="U46" t="s" s="52">
        <v>3850</v>
      </c>
      <c r="V46" t="s" s="52">
        <v>3835</v>
      </c>
      <c r="W46" s="71">
        <v>1</v>
      </c>
      <c r="X46" s="71">
        <v>-0.54</v>
      </c>
      <c r="Y46" s="60" cm="1">
        <f t="array" ref="Y46">X46-1.96*AC46</f>
        <v>-0.9516</v>
      </c>
      <c r="Z46" s="60" cm="1">
        <f t="array" ref="Z46">X46+1.96*AC46</f>
        <v>-0.1284</v>
      </c>
      <c r="AA46" s="61">
        <v>0.95</v>
      </c>
      <c r="AB46" s="58"/>
      <c r="AC46" s="59">
        <v>0.21</v>
      </c>
      <c r="AD46" s="67" cm="1">
        <f t="array" ref="AD46">X46-1.96*AC46</f>
        <v>-0.9516</v>
      </c>
      <c r="AE46" s="67" cm="1">
        <f t="array" ref="AE46">X46+1.96*AC46</f>
        <v>-0.1284</v>
      </c>
      <c r="AF46" t="s" s="52">
        <v>3958</v>
      </c>
      <c r="AG46" s="63"/>
      <c r="AH46" t="s" s="52">
        <v>3871</v>
      </c>
      <c r="AI46" s="53"/>
    </row>
    <row r="47" ht="45" customHeight="1">
      <c r="A47" t="s" s="46">
        <v>1421</v>
      </c>
      <c r="B47" t="s" s="52">
        <v>3951</v>
      </c>
      <c r="C47" t="s" s="52">
        <v>3952</v>
      </c>
      <c r="D47" t="s" s="52">
        <v>3943</v>
      </c>
      <c r="E47" s="53"/>
      <c r="F47" t="s" s="52">
        <v>3953</v>
      </c>
      <c r="G47" t="s" s="52">
        <v>3954</v>
      </c>
      <c r="H47" t="s" s="52">
        <v>3815</v>
      </c>
      <c r="I47" s="54">
        <v>417</v>
      </c>
      <c r="J47" t="s" s="52">
        <v>3816</v>
      </c>
      <c r="K47" t="s" s="52">
        <v>3955</v>
      </c>
      <c r="L47" s="54">
        <v>12</v>
      </c>
      <c r="M47" t="s" s="55">
        <v>3819</v>
      </c>
      <c r="N47" s="56">
        <v>104.25</v>
      </c>
      <c r="O47" t="s" s="52">
        <v>3820</v>
      </c>
      <c r="P47" t="s" s="52">
        <v>3877</v>
      </c>
      <c r="Q47" t="s" s="52">
        <v>3956</v>
      </c>
      <c r="R47" t="s" s="55">
        <v>3819</v>
      </c>
      <c r="S47" s="56">
        <v>6.46</v>
      </c>
      <c r="T47" t="s" s="55">
        <v>3822</v>
      </c>
      <c r="U47" t="s" s="52">
        <v>3850</v>
      </c>
      <c r="V47" t="s" s="52">
        <v>3835</v>
      </c>
      <c r="W47" s="71">
        <v>1</v>
      </c>
      <c r="X47" s="71">
        <v>-0.59</v>
      </c>
      <c r="Y47" s="60" cm="1">
        <f t="array" ref="Y47">X47-1.96*AC47</f>
        <v>-1.0016</v>
      </c>
      <c r="Z47" s="60" cm="1">
        <f t="array" ref="Z47">X47+1.96*AC47</f>
        <v>-0.1784</v>
      </c>
      <c r="AA47" s="61">
        <v>0.95</v>
      </c>
      <c r="AB47" s="58"/>
      <c r="AC47" s="59">
        <v>0.21</v>
      </c>
      <c r="AD47" s="67" cm="1">
        <f t="array" ref="AD47">X47-1.96*AC47</f>
        <v>-1.0016</v>
      </c>
      <c r="AE47" s="67" cm="1">
        <f t="array" ref="AE47">X47+1.96*AC47</f>
        <v>-0.1784</v>
      </c>
      <c r="AF47" t="s" s="52">
        <v>3959</v>
      </c>
      <c r="AG47" s="63"/>
      <c r="AH47" t="s" s="52">
        <v>3871</v>
      </c>
      <c r="AI47" s="53"/>
    </row>
    <row r="48" ht="45" customHeight="1">
      <c r="A48" t="s" s="46">
        <v>1421</v>
      </c>
      <c r="B48" t="s" s="52">
        <v>3951</v>
      </c>
      <c r="C48" t="s" s="52">
        <v>3952</v>
      </c>
      <c r="D48" t="s" s="52">
        <v>3943</v>
      </c>
      <c r="E48" s="53"/>
      <c r="F48" t="s" s="52">
        <v>3953</v>
      </c>
      <c r="G48" t="s" s="52">
        <v>3954</v>
      </c>
      <c r="H48" t="s" s="52">
        <v>3815</v>
      </c>
      <c r="I48" s="54">
        <v>417</v>
      </c>
      <c r="J48" t="s" s="52">
        <v>3816</v>
      </c>
      <c r="K48" t="s" s="52">
        <v>3955</v>
      </c>
      <c r="L48" s="54">
        <v>12</v>
      </c>
      <c r="M48" t="s" s="55">
        <v>3819</v>
      </c>
      <c r="N48" s="56">
        <v>104.25</v>
      </c>
      <c r="O48" t="s" s="52">
        <v>3820</v>
      </c>
      <c r="P48" t="s" s="52">
        <v>3821</v>
      </c>
      <c r="Q48" s="54">
        <v>12</v>
      </c>
      <c r="R48" t="s" s="55">
        <v>3819</v>
      </c>
      <c r="S48" s="56">
        <v>3.11</v>
      </c>
      <c r="T48" t="s" s="55">
        <v>3822</v>
      </c>
      <c r="U48" t="s" s="52">
        <v>3850</v>
      </c>
      <c r="V48" t="s" s="52">
        <v>3835</v>
      </c>
      <c r="W48" s="71">
        <v>1</v>
      </c>
      <c r="X48" s="71">
        <v>-0.67</v>
      </c>
      <c r="Y48" s="60" cm="1">
        <f t="array" ref="Y48">X48-1.96*AC48</f>
        <v>-1.6108</v>
      </c>
      <c r="Z48" s="60" cm="1">
        <f t="array" ref="Z48">X48+1.96*AC48</f>
        <v>0.2708</v>
      </c>
      <c r="AA48" s="61">
        <v>0.95</v>
      </c>
      <c r="AB48" s="58"/>
      <c r="AC48" s="59">
        <v>0.48</v>
      </c>
      <c r="AD48" s="67" cm="1">
        <f t="array" ref="AD48">X48-1.96*AC48</f>
        <v>-1.6108</v>
      </c>
      <c r="AE48" s="67" cm="1">
        <f t="array" ref="AE48">X48+1.96*AC48</f>
        <v>0.2708</v>
      </c>
      <c r="AF48" t="s" s="52">
        <v>3958</v>
      </c>
      <c r="AG48" s="63"/>
      <c r="AH48" t="s" s="52">
        <v>3871</v>
      </c>
      <c r="AI48" s="53"/>
    </row>
    <row r="49" ht="45" customHeight="1">
      <c r="A49" t="s" s="46">
        <v>1421</v>
      </c>
      <c r="B49" t="s" s="52">
        <v>3951</v>
      </c>
      <c r="C49" t="s" s="52">
        <v>3952</v>
      </c>
      <c r="D49" t="s" s="52">
        <v>3943</v>
      </c>
      <c r="E49" s="53"/>
      <c r="F49" t="s" s="52">
        <v>3953</v>
      </c>
      <c r="G49" t="s" s="52">
        <v>3954</v>
      </c>
      <c r="H49" t="s" s="52">
        <v>3815</v>
      </c>
      <c r="I49" s="54">
        <v>417</v>
      </c>
      <c r="J49" t="s" s="52">
        <v>3816</v>
      </c>
      <c r="K49" t="s" s="52">
        <v>3955</v>
      </c>
      <c r="L49" s="54">
        <v>12</v>
      </c>
      <c r="M49" t="s" s="55">
        <v>3819</v>
      </c>
      <c r="N49" s="56">
        <v>104.25</v>
      </c>
      <c r="O49" t="s" s="52">
        <v>3820</v>
      </c>
      <c r="P49" t="s" s="52">
        <v>3821</v>
      </c>
      <c r="Q49" s="54">
        <v>12</v>
      </c>
      <c r="R49" t="s" s="55">
        <v>3819</v>
      </c>
      <c r="S49" s="56">
        <v>3.11</v>
      </c>
      <c r="T49" t="s" s="55">
        <v>3822</v>
      </c>
      <c r="U49" t="s" s="52">
        <v>3850</v>
      </c>
      <c r="V49" t="s" s="52">
        <v>3835</v>
      </c>
      <c r="W49" s="71">
        <v>1</v>
      </c>
      <c r="X49" s="71">
        <v>-0.62</v>
      </c>
      <c r="Y49" s="60" cm="1">
        <f t="array" ref="Y49">X49-1.96*AC49</f>
        <v>-1.5804</v>
      </c>
      <c r="Z49" s="60" cm="1">
        <f t="array" ref="Z49">X49+1.96*AC49</f>
        <v>0.3404</v>
      </c>
      <c r="AA49" s="61">
        <v>0.95</v>
      </c>
      <c r="AB49" s="58"/>
      <c r="AC49" s="59">
        <v>0.49</v>
      </c>
      <c r="AD49" s="67" cm="1">
        <f t="array" ref="AD49">X49-1.96*AC49</f>
        <v>-1.5804</v>
      </c>
      <c r="AE49" s="67" cm="1">
        <f t="array" ref="AE49">X49+1.96*AC49</f>
        <v>0.3404</v>
      </c>
      <c r="AF49" t="s" s="52">
        <v>3959</v>
      </c>
      <c r="AG49" s="63"/>
      <c r="AH49" t="s" s="52">
        <v>3871</v>
      </c>
      <c r="AI49" s="53"/>
    </row>
    <row r="50" ht="60" customHeight="1">
      <c r="A50" t="s" s="46">
        <v>1456</v>
      </c>
      <c r="B50" t="s" s="52">
        <v>3960</v>
      </c>
      <c r="C50" t="s" s="52">
        <v>3961</v>
      </c>
      <c r="D50" t="s" s="52">
        <v>3841</v>
      </c>
      <c r="E50" s="53"/>
      <c r="F50" t="s" s="52">
        <v>3962</v>
      </c>
      <c r="G50" s="53"/>
      <c r="H50" t="s" s="52">
        <v>3815</v>
      </c>
      <c r="I50" t="s" s="52">
        <v>3963</v>
      </c>
      <c r="J50" t="s" s="52">
        <v>3816</v>
      </c>
      <c r="K50" t="s" s="52">
        <v>3964</v>
      </c>
      <c r="L50" t="s" s="52">
        <v>3965</v>
      </c>
      <c r="M50" t="s" s="55">
        <v>3819</v>
      </c>
      <c r="N50" t="s" s="55">
        <v>3814</v>
      </c>
      <c r="O50" t="s" s="52">
        <v>3966</v>
      </c>
      <c r="P50" t="s" s="52">
        <v>3821</v>
      </c>
      <c r="Q50" s="53"/>
      <c r="R50" s="72"/>
      <c r="S50" t="s" s="79">
        <v>3967</v>
      </c>
      <c r="T50" s="72"/>
      <c r="U50" s="53"/>
      <c r="V50" t="s" s="57">
        <v>3823</v>
      </c>
      <c r="W50" s="58"/>
      <c r="X50" s="59"/>
      <c r="Y50" s="60"/>
      <c r="Z50" s="60"/>
      <c r="AA50" s="61"/>
      <c r="AB50" s="58"/>
      <c r="AC50" s="59"/>
      <c r="AD50" s="62"/>
      <c r="AE50" s="62"/>
      <c r="AF50" s="53"/>
      <c r="AG50" s="63"/>
      <c r="AH50" t="s" s="52">
        <v>45</v>
      </c>
      <c r="AI50" s="53"/>
    </row>
    <row r="51" ht="60" customHeight="1">
      <c r="A51" t="s" s="46">
        <v>1504</v>
      </c>
      <c r="B51" t="s" s="52">
        <v>3815</v>
      </c>
      <c r="C51" t="s" s="52">
        <v>3968</v>
      </c>
      <c r="D51" t="s" s="52">
        <v>3943</v>
      </c>
      <c r="E51" t="s" s="52">
        <v>3930</v>
      </c>
      <c r="F51" t="s" s="52">
        <v>3813</v>
      </c>
      <c r="G51" s="53"/>
      <c r="H51" s="53"/>
      <c r="I51" s="54">
        <v>908</v>
      </c>
      <c r="J51" t="s" s="52">
        <v>3816</v>
      </c>
      <c r="K51" t="s" s="52">
        <v>3969</v>
      </c>
      <c r="L51" t="s" s="52">
        <v>3970</v>
      </c>
      <c r="M51" t="s" s="55">
        <v>3819</v>
      </c>
      <c r="N51" s="56">
        <v>110.07</v>
      </c>
      <c r="O51" t="s" s="52">
        <v>3820</v>
      </c>
      <c r="P51" t="s" s="52">
        <v>3821</v>
      </c>
      <c r="Q51" s="53"/>
      <c r="R51" t="s" s="55">
        <v>3819</v>
      </c>
      <c r="S51" s="56">
        <v>1.8</v>
      </c>
      <c r="T51" t="s" s="55">
        <v>3822</v>
      </c>
      <c r="U51" t="s" s="52">
        <v>3910</v>
      </c>
      <c r="V51" t="s" s="52">
        <v>3835</v>
      </c>
      <c r="W51" s="71">
        <v>1</v>
      </c>
      <c r="X51" s="71">
        <v>-7.86</v>
      </c>
      <c r="Y51" s="60">
        <v>-14.07</v>
      </c>
      <c r="Z51" s="60">
        <v>-1.65</v>
      </c>
      <c r="AA51" s="61">
        <v>0.95</v>
      </c>
      <c r="AB51" s="71">
        <v>0.013</v>
      </c>
      <c r="AC51" s="66" cm="1">
        <f t="array" ref="AC51">(Z51-Y51)/(3.92)</f>
        <v>3.16836734693878</v>
      </c>
      <c r="AD51" s="67" cm="1">
        <f t="array" ref="AD51">X51-1.96*AC51</f>
        <v>-14.07</v>
      </c>
      <c r="AE51" s="67" cm="1">
        <f t="array" ref="AE51">X51+1.96*AC51</f>
        <v>-1.64999999999999</v>
      </c>
      <c r="AF51" t="s" s="52">
        <v>3971</v>
      </c>
      <c r="AG51" s="63"/>
      <c r="AH51" t="s" s="52">
        <v>3972</v>
      </c>
      <c r="AI51" s="53"/>
    </row>
    <row r="52" ht="75" customHeight="1">
      <c r="A52" t="s" s="46">
        <v>1504</v>
      </c>
      <c r="B52" t="s" s="52">
        <v>3815</v>
      </c>
      <c r="C52" t="s" s="52">
        <v>3973</v>
      </c>
      <c r="D52" t="s" s="52">
        <v>3943</v>
      </c>
      <c r="E52" t="s" s="52">
        <v>3930</v>
      </c>
      <c r="F52" t="s" s="52">
        <v>3813</v>
      </c>
      <c r="G52" s="53"/>
      <c r="H52" s="53"/>
      <c r="I52" s="54">
        <v>851</v>
      </c>
      <c r="J52" t="s" s="52">
        <v>3816</v>
      </c>
      <c r="K52" t="s" s="52">
        <v>3969</v>
      </c>
      <c r="L52" t="s" s="52">
        <v>3970</v>
      </c>
      <c r="M52" t="s" s="55">
        <v>3819</v>
      </c>
      <c r="N52" s="56">
        <v>110.07</v>
      </c>
      <c r="O52" t="s" s="52">
        <v>3820</v>
      </c>
      <c r="P52" t="s" s="52">
        <v>3821</v>
      </c>
      <c r="Q52" s="53"/>
      <c r="R52" t="s" s="55">
        <v>3819</v>
      </c>
      <c r="S52" s="56">
        <v>1.8</v>
      </c>
      <c r="T52" t="s" s="55">
        <v>3822</v>
      </c>
      <c r="U52" t="s" s="52">
        <v>3910</v>
      </c>
      <c r="V52" t="s" s="52">
        <v>3835</v>
      </c>
      <c r="W52" s="71">
        <v>1</v>
      </c>
      <c r="X52" s="71">
        <v>-7.84</v>
      </c>
      <c r="Y52" s="60">
        <v>-13.84</v>
      </c>
      <c r="Z52" s="60">
        <v>-1.84</v>
      </c>
      <c r="AA52" s="61">
        <v>0.95</v>
      </c>
      <c r="AB52" s="71">
        <v>0.01</v>
      </c>
      <c r="AC52" s="66" cm="1">
        <f t="array" ref="AC52">(Z52-Y52)/(3.92)</f>
        <v>3.06122448979592</v>
      </c>
      <c r="AD52" s="67" cm="1">
        <f t="array" ref="AD52">X52-1.96*AC52</f>
        <v>-13.84</v>
      </c>
      <c r="AE52" s="67" cm="1">
        <f t="array" ref="AE52">X52+1.96*AC52</f>
        <v>-1.84</v>
      </c>
      <c r="AF52" t="s" s="52">
        <v>3974</v>
      </c>
      <c r="AG52" s="63"/>
      <c r="AH52" t="s" s="52">
        <v>3972</v>
      </c>
      <c r="AI52" s="53"/>
    </row>
    <row r="53" ht="135" customHeight="1">
      <c r="A53" t="s" s="46">
        <v>1504</v>
      </c>
      <c r="B53" t="s" s="52">
        <v>3815</v>
      </c>
      <c r="C53" t="s" s="52">
        <v>3975</v>
      </c>
      <c r="D53" t="s" s="52">
        <v>3943</v>
      </c>
      <c r="E53" t="s" s="52">
        <v>3930</v>
      </c>
      <c r="F53" t="s" s="52">
        <v>3813</v>
      </c>
      <c r="G53" s="53"/>
      <c r="H53" s="53"/>
      <c r="I53" s="54">
        <v>839</v>
      </c>
      <c r="J53" t="s" s="52">
        <v>3816</v>
      </c>
      <c r="K53" t="s" s="52">
        <v>3969</v>
      </c>
      <c r="L53" t="s" s="52">
        <v>3970</v>
      </c>
      <c r="M53" t="s" s="55">
        <v>3819</v>
      </c>
      <c r="N53" s="56">
        <v>110.07</v>
      </c>
      <c r="O53" t="s" s="52">
        <v>3820</v>
      </c>
      <c r="P53" t="s" s="52">
        <v>3821</v>
      </c>
      <c r="Q53" s="53"/>
      <c r="R53" t="s" s="55">
        <v>3819</v>
      </c>
      <c r="S53" s="56">
        <v>1.8</v>
      </c>
      <c r="T53" t="s" s="55">
        <v>3822</v>
      </c>
      <c r="U53" t="s" s="52">
        <v>3910</v>
      </c>
      <c r="V53" t="s" s="52">
        <v>3835</v>
      </c>
      <c r="W53" s="71">
        <v>1</v>
      </c>
      <c r="X53" s="71">
        <v>-7.23</v>
      </c>
      <c r="Y53" s="60">
        <v>-13.39</v>
      </c>
      <c r="Z53" s="60">
        <v>-1.07</v>
      </c>
      <c r="AA53" s="61">
        <v>0.95</v>
      </c>
      <c r="AB53" s="71">
        <v>0.021</v>
      </c>
      <c r="AC53" s="66" cm="1">
        <f t="array" ref="AC53">(Z53-Y53)/(3.92)</f>
        <v>3.14285714285714</v>
      </c>
      <c r="AD53" s="67" cm="1">
        <f t="array" ref="AD53">X53-1.96*AC53</f>
        <v>-13.39</v>
      </c>
      <c r="AE53" s="67" cm="1">
        <f t="array" ref="AE53">X53+1.96*AC53</f>
        <v>-1.07000000000001</v>
      </c>
      <c r="AF53" t="s" s="52">
        <v>3976</v>
      </c>
      <c r="AG53" s="63"/>
      <c r="AH53" s="53"/>
      <c r="AI53" t="s" s="52">
        <v>277</v>
      </c>
    </row>
    <row r="54" ht="60" customHeight="1">
      <c r="A54" t="s" s="46">
        <v>1516</v>
      </c>
      <c r="B54" t="s" s="68">
        <v>3977</v>
      </c>
      <c r="C54" t="s" s="52">
        <v>3978</v>
      </c>
      <c r="D54" t="s" s="52">
        <v>3864</v>
      </c>
      <c r="E54" s="53"/>
      <c r="F54" t="s" s="52">
        <v>3979</v>
      </c>
      <c r="G54" t="s" s="52">
        <v>3980</v>
      </c>
      <c r="H54" t="s" s="52">
        <v>3981</v>
      </c>
      <c r="I54" s="54">
        <v>397</v>
      </c>
      <c r="J54" t="s" s="52">
        <v>3816</v>
      </c>
      <c r="K54" t="s" s="52">
        <v>3886</v>
      </c>
      <c r="L54" s="54">
        <v>6</v>
      </c>
      <c r="M54" t="s" s="55">
        <v>3819</v>
      </c>
      <c r="N54" s="56">
        <v>86.09999999999999</v>
      </c>
      <c r="O54" t="s" s="52">
        <v>3820</v>
      </c>
      <c r="P54" t="s" s="52">
        <v>3877</v>
      </c>
      <c r="Q54" s="54">
        <v>1</v>
      </c>
      <c r="R54" s="72"/>
      <c r="S54" t="s" s="55">
        <v>3814</v>
      </c>
      <c r="T54" s="72"/>
      <c r="U54" t="s" s="52">
        <v>3834</v>
      </c>
      <c r="V54" t="s" s="52">
        <v>3835</v>
      </c>
      <c r="W54" s="71">
        <v>1</v>
      </c>
      <c r="X54" s="71">
        <v>-0.08</v>
      </c>
      <c r="Y54" s="60">
        <v>-2.0792</v>
      </c>
      <c r="Z54" s="60">
        <v>1.9192</v>
      </c>
      <c r="AA54" s="61">
        <v>0.95</v>
      </c>
      <c r="AB54" s="71">
        <v>0.9340000000000001</v>
      </c>
      <c r="AC54" s="66">
        <v>1.02</v>
      </c>
      <c r="AD54" s="67"/>
      <c r="AE54" s="67"/>
      <c r="AF54" t="s" s="52">
        <v>3982</v>
      </c>
      <c r="AG54" s="63"/>
      <c r="AH54" t="s" s="52">
        <v>1518</v>
      </c>
      <c r="AI54" s="53"/>
    </row>
    <row r="55" ht="60" customHeight="1">
      <c r="A55" t="s" s="46">
        <v>1516</v>
      </c>
      <c r="B55" t="s" s="68">
        <v>3977</v>
      </c>
      <c r="C55" t="s" s="52">
        <v>3978</v>
      </c>
      <c r="D55" t="s" s="52">
        <v>3864</v>
      </c>
      <c r="E55" s="53"/>
      <c r="F55" t="s" s="52">
        <v>3979</v>
      </c>
      <c r="G55" t="s" s="52">
        <v>3980</v>
      </c>
      <c r="H55" t="s" s="52">
        <v>3981</v>
      </c>
      <c r="I55" s="54">
        <v>397</v>
      </c>
      <c r="J55" t="s" s="52">
        <v>3816</v>
      </c>
      <c r="K55" t="s" s="52">
        <v>3886</v>
      </c>
      <c r="L55" s="54">
        <v>6</v>
      </c>
      <c r="M55" t="s" s="55">
        <v>3819</v>
      </c>
      <c r="N55" s="56">
        <v>86.09999999999999</v>
      </c>
      <c r="O55" t="s" s="52">
        <v>3820</v>
      </c>
      <c r="P55" t="s" s="52">
        <v>3877</v>
      </c>
      <c r="Q55" s="54">
        <v>2</v>
      </c>
      <c r="R55" s="72"/>
      <c r="S55" t="s" s="55">
        <v>3814</v>
      </c>
      <c r="T55" s="72"/>
      <c r="U55" t="s" s="52">
        <v>3834</v>
      </c>
      <c r="V55" t="s" s="52">
        <v>3835</v>
      </c>
      <c r="W55" s="71">
        <v>1</v>
      </c>
      <c r="X55" s="71">
        <v>-0.46</v>
      </c>
      <c r="Y55" s="60">
        <v>-2.5768</v>
      </c>
      <c r="Z55" s="60">
        <v>1.6568</v>
      </c>
      <c r="AA55" s="61">
        <v>0.95</v>
      </c>
      <c r="AB55" s="71">
        <v>0.67</v>
      </c>
      <c r="AC55" s="66">
        <v>1.08</v>
      </c>
      <c r="AD55" s="67"/>
      <c r="AE55" s="67"/>
      <c r="AF55" t="s" s="52">
        <v>3982</v>
      </c>
      <c r="AG55" s="63"/>
      <c r="AH55" t="s" s="52">
        <v>1518</v>
      </c>
      <c r="AI55" s="53"/>
    </row>
    <row r="56" ht="60" customHeight="1">
      <c r="A56" t="s" s="46">
        <v>1516</v>
      </c>
      <c r="B56" t="s" s="68">
        <v>3977</v>
      </c>
      <c r="C56" t="s" s="52">
        <v>3978</v>
      </c>
      <c r="D56" t="s" s="52">
        <v>3864</v>
      </c>
      <c r="E56" s="53"/>
      <c r="F56" t="s" s="52">
        <v>3979</v>
      </c>
      <c r="G56" t="s" s="52">
        <v>3980</v>
      </c>
      <c r="H56" t="s" s="52">
        <v>3981</v>
      </c>
      <c r="I56" s="54">
        <v>397</v>
      </c>
      <c r="J56" t="s" s="52">
        <v>3816</v>
      </c>
      <c r="K56" t="s" s="52">
        <v>3886</v>
      </c>
      <c r="L56" s="54">
        <v>6</v>
      </c>
      <c r="M56" t="s" s="55">
        <v>3819</v>
      </c>
      <c r="N56" s="56">
        <v>86.09999999999999</v>
      </c>
      <c r="O56" t="s" s="52">
        <v>3820</v>
      </c>
      <c r="P56" t="s" s="52">
        <v>3983</v>
      </c>
      <c r="Q56" s="54">
        <v>3</v>
      </c>
      <c r="R56" s="72"/>
      <c r="S56" t="s" s="55">
        <v>3814</v>
      </c>
      <c r="T56" s="72"/>
      <c r="U56" t="s" s="52">
        <v>3834</v>
      </c>
      <c r="V56" t="s" s="52">
        <v>3835</v>
      </c>
      <c r="W56" s="71">
        <v>1</v>
      </c>
      <c r="X56" s="71">
        <v>-2.61</v>
      </c>
      <c r="Y56" s="60">
        <v>-4.668</v>
      </c>
      <c r="Z56" s="60">
        <v>-0.552</v>
      </c>
      <c r="AA56" s="61">
        <v>0.95</v>
      </c>
      <c r="AB56" s="71">
        <v>0.013</v>
      </c>
      <c r="AC56" s="66">
        <v>1.05</v>
      </c>
      <c r="AD56" s="67"/>
      <c r="AE56" s="67"/>
      <c r="AF56" t="s" s="52">
        <v>3982</v>
      </c>
      <c r="AG56" s="63"/>
      <c r="AH56" t="s" s="52">
        <v>1518</v>
      </c>
      <c r="AI56" s="53"/>
    </row>
    <row r="57" ht="60" customHeight="1">
      <c r="A57" t="s" s="46">
        <v>1516</v>
      </c>
      <c r="B57" t="s" s="68">
        <v>3977</v>
      </c>
      <c r="C57" t="s" s="52">
        <v>3978</v>
      </c>
      <c r="D57" t="s" s="52">
        <v>3864</v>
      </c>
      <c r="E57" s="53"/>
      <c r="F57" t="s" s="52">
        <v>3979</v>
      </c>
      <c r="G57" t="s" s="52">
        <v>3980</v>
      </c>
      <c r="H57" t="s" s="52">
        <v>3981</v>
      </c>
      <c r="I57" s="54">
        <v>397</v>
      </c>
      <c r="J57" t="s" s="52">
        <v>3816</v>
      </c>
      <c r="K57" t="s" s="52">
        <v>3886</v>
      </c>
      <c r="L57" s="54">
        <v>6</v>
      </c>
      <c r="M57" t="s" s="55">
        <v>3819</v>
      </c>
      <c r="N57" s="56">
        <v>86.09999999999999</v>
      </c>
      <c r="O57" t="s" s="52">
        <v>3820</v>
      </c>
      <c r="P57" t="s" s="52">
        <v>3983</v>
      </c>
      <c r="Q57" s="54">
        <v>4</v>
      </c>
      <c r="R57" s="72"/>
      <c r="S57" t="s" s="55">
        <v>3814</v>
      </c>
      <c r="T57" s="72"/>
      <c r="U57" t="s" s="52">
        <v>3834</v>
      </c>
      <c r="V57" t="s" s="52">
        <v>3835</v>
      </c>
      <c r="W57" s="71">
        <v>1</v>
      </c>
      <c r="X57" s="71">
        <v>-2.85</v>
      </c>
      <c r="Y57" s="60">
        <v>-4.9472</v>
      </c>
      <c r="Z57" s="60">
        <v>-0.7528</v>
      </c>
      <c r="AA57" s="61">
        <v>0.95</v>
      </c>
      <c r="AB57" s="71">
        <v>0.008</v>
      </c>
      <c r="AC57" s="66">
        <v>1.07</v>
      </c>
      <c r="AD57" s="67"/>
      <c r="AE57" s="67"/>
      <c r="AF57" t="s" s="52">
        <v>3982</v>
      </c>
      <c r="AG57" s="63"/>
      <c r="AH57" t="s" s="52">
        <v>1518</v>
      </c>
      <c r="AI57" s="53"/>
    </row>
    <row r="58" ht="60" customHeight="1">
      <c r="A58" t="s" s="46">
        <v>1516</v>
      </c>
      <c r="B58" t="s" s="68">
        <v>3977</v>
      </c>
      <c r="C58" t="s" s="52">
        <v>3978</v>
      </c>
      <c r="D58" t="s" s="52">
        <v>3864</v>
      </c>
      <c r="E58" s="53"/>
      <c r="F58" t="s" s="52">
        <v>3979</v>
      </c>
      <c r="G58" t="s" s="52">
        <v>3980</v>
      </c>
      <c r="H58" t="s" s="52">
        <v>3981</v>
      </c>
      <c r="I58" s="54">
        <v>397</v>
      </c>
      <c r="J58" t="s" s="52">
        <v>3816</v>
      </c>
      <c r="K58" t="s" s="52">
        <v>3886</v>
      </c>
      <c r="L58" s="54">
        <v>6</v>
      </c>
      <c r="M58" t="s" s="55">
        <v>3819</v>
      </c>
      <c r="N58" s="56">
        <v>86.09999999999999</v>
      </c>
      <c r="O58" t="s" s="52">
        <v>3820</v>
      </c>
      <c r="P58" t="s" s="52">
        <v>3983</v>
      </c>
      <c r="Q58" s="54">
        <v>5</v>
      </c>
      <c r="R58" s="72"/>
      <c r="S58" t="s" s="55">
        <v>3814</v>
      </c>
      <c r="T58" s="72"/>
      <c r="U58" t="s" s="52">
        <v>3834</v>
      </c>
      <c r="V58" t="s" s="52">
        <v>3835</v>
      </c>
      <c r="W58" s="71">
        <v>1</v>
      </c>
      <c r="X58" s="71">
        <v>-4.39</v>
      </c>
      <c r="Y58" s="60">
        <v>-6.252</v>
      </c>
      <c r="Z58" s="60">
        <v>-2.528</v>
      </c>
      <c r="AA58" s="61">
        <v>0.95</v>
      </c>
      <c r="AB58" t="s" s="65">
        <v>3887</v>
      </c>
      <c r="AC58" s="66">
        <v>0.95</v>
      </c>
      <c r="AD58" s="67"/>
      <c r="AE58" s="67"/>
      <c r="AF58" t="s" s="52">
        <v>3982</v>
      </c>
      <c r="AG58" s="63"/>
      <c r="AH58" t="s" s="52">
        <v>1518</v>
      </c>
      <c r="AI58" s="53"/>
    </row>
    <row r="59" ht="60" customHeight="1">
      <c r="A59" t="s" s="46">
        <v>1516</v>
      </c>
      <c r="B59" t="s" s="68">
        <v>3977</v>
      </c>
      <c r="C59" t="s" s="52">
        <v>3978</v>
      </c>
      <c r="D59" t="s" s="52">
        <v>3864</v>
      </c>
      <c r="E59" s="53"/>
      <c r="F59" t="s" s="52">
        <v>3979</v>
      </c>
      <c r="G59" t="s" s="52">
        <v>3980</v>
      </c>
      <c r="H59" t="s" s="52">
        <v>3981</v>
      </c>
      <c r="I59" s="54">
        <v>397</v>
      </c>
      <c r="J59" t="s" s="52">
        <v>3816</v>
      </c>
      <c r="K59" t="s" s="52">
        <v>3886</v>
      </c>
      <c r="L59" s="54">
        <v>6</v>
      </c>
      <c r="M59" t="s" s="55">
        <v>3819</v>
      </c>
      <c r="N59" s="56">
        <v>86.09999999999999</v>
      </c>
      <c r="O59" t="s" s="52">
        <v>3820</v>
      </c>
      <c r="P59" t="s" s="52">
        <v>3879</v>
      </c>
      <c r="Q59" t="s" s="52">
        <v>3984</v>
      </c>
      <c r="R59" t="s" s="55">
        <v>3819</v>
      </c>
      <c r="S59" s="56">
        <v>8.5</v>
      </c>
      <c r="T59" t="s" s="55">
        <v>3985</v>
      </c>
      <c r="U59" t="s" s="52">
        <v>3834</v>
      </c>
      <c r="V59" t="s" s="52">
        <v>3835</v>
      </c>
      <c r="W59" s="71">
        <v>1</v>
      </c>
      <c r="X59" s="71">
        <v>-3.19</v>
      </c>
      <c r="Y59" s="60" cm="1">
        <f t="array" ref="Y59">X59-1.96*AC59</f>
        <v>-5.6008</v>
      </c>
      <c r="Z59" s="60" cm="1">
        <f t="array" ref="Z59">X59+1.96*AC59</f>
        <v>-0.7792</v>
      </c>
      <c r="AA59" s="61">
        <v>0.95</v>
      </c>
      <c r="AB59" s="71">
        <v>0.01</v>
      </c>
      <c r="AC59" s="59">
        <v>1.23</v>
      </c>
      <c r="AD59" s="67" cm="1">
        <f t="array" ref="AD59">X59-1.96*AC59</f>
        <v>-5.6008</v>
      </c>
      <c r="AE59" s="67" cm="1">
        <f t="array" ref="AE59">X59+1.96*AC59</f>
        <v>-0.7792</v>
      </c>
      <c r="AF59" t="s" s="52">
        <v>3986</v>
      </c>
      <c r="AG59" s="63"/>
      <c r="AH59" t="s" s="52">
        <v>1518</v>
      </c>
      <c r="AI59" s="53"/>
    </row>
    <row r="60" ht="60" customHeight="1">
      <c r="A60" t="s" s="46">
        <v>1516</v>
      </c>
      <c r="B60" t="s" s="68">
        <v>3977</v>
      </c>
      <c r="C60" t="s" s="52">
        <v>3978</v>
      </c>
      <c r="D60" t="s" s="52">
        <v>3864</v>
      </c>
      <c r="E60" s="53"/>
      <c r="F60" t="s" s="52">
        <v>3979</v>
      </c>
      <c r="G60" t="s" s="52">
        <v>3980</v>
      </c>
      <c r="H60" t="s" s="52">
        <v>3981</v>
      </c>
      <c r="I60" s="54">
        <v>397</v>
      </c>
      <c r="J60" t="s" s="52">
        <v>3816</v>
      </c>
      <c r="K60" t="s" s="52">
        <v>3886</v>
      </c>
      <c r="L60" s="54">
        <v>6</v>
      </c>
      <c r="M60" t="s" s="55">
        <v>3819</v>
      </c>
      <c r="N60" s="56">
        <v>86.09999999999999</v>
      </c>
      <c r="O60" t="s" s="52">
        <v>3820</v>
      </c>
      <c r="P60" t="s" s="52">
        <v>3821</v>
      </c>
      <c r="Q60" s="54">
        <v>6</v>
      </c>
      <c r="R60" t="s" s="55">
        <v>3819</v>
      </c>
      <c r="S60" s="56">
        <v>6</v>
      </c>
      <c r="T60" t="s" s="55">
        <v>3985</v>
      </c>
      <c r="U60" t="s" s="52">
        <v>3834</v>
      </c>
      <c r="V60" t="s" s="52">
        <v>3835</v>
      </c>
      <c r="W60" s="71">
        <v>1</v>
      </c>
      <c r="X60" s="71">
        <v>-3.49</v>
      </c>
      <c r="Y60" s="60" cm="1">
        <f t="array" ref="Y60">X60-1.96*AC60</f>
        <v>-5.5088</v>
      </c>
      <c r="Z60" s="60" cm="1">
        <f t="array" ref="Z60">X60+1.96*AC60</f>
        <v>-1.4712</v>
      </c>
      <c r="AA60" s="61">
        <v>0.95</v>
      </c>
      <c r="AB60" t="s" s="65">
        <v>3887</v>
      </c>
      <c r="AC60" s="59">
        <v>1.03</v>
      </c>
      <c r="AD60" s="67" cm="1">
        <f t="array" ref="AD60">X60-1.96*AC60</f>
        <v>-5.5088</v>
      </c>
      <c r="AE60" s="67" cm="1">
        <f t="array" ref="AE60">X60+1.96*AC60</f>
        <v>-1.4712</v>
      </c>
      <c r="AF60" t="s" s="52">
        <v>3982</v>
      </c>
      <c r="AG60" s="63"/>
      <c r="AH60" t="s" s="52">
        <v>1518</v>
      </c>
      <c r="AI60" s="53"/>
    </row>
    <row r="61" ht="60" customHeight="1">
      <c r="A61" t="s" s="46">
        <v>1557</v>
      </c>
      <c r="B61" t="s" s="52">
        <v>3987</v>
      </c>
      <c r="C61" t="s" s="52">
        <v>3988</v>
      </c>
      <c r="D61" t="s" s="52">
        <v>3943</v>
      </c>
      <c r="E61" s="53"/>
      <c r="F61" s="53"/>
      <c r="G61" t="s" s="52">
        <v>3989</v>
      </c>
      <c r="H61" t="s" s="52">
        <v>3987</v>
      </c>
      <c r="I61" s="54">
        <v>76</v>
      </c>
      <c r="J61" s="53"/>
      <c r="K61" t="s" s="52">
        <v>3831</v>
      </c>
      <c r="L61" s="54">
        <v>5</v>
      </c>
      <c r="M61" t="s" s="64">
        <v>3819</v>
      </c>
      <c r="N61" s="56">
        <v>105.9</v>
      </c>
      <c r="O61" t="s" s="52">
        <v>3820</v>
      </c>
      <c r="P61" t="s" s="52">
        <v>3877</v>
      </c>
      <c r="Q61" t="s" s="52">
        <v>3990</v>
      </c>
      <c r="R61" t="s" s="55">
        <v>3819</v>
      </c>
      <c r="S61" s="56">
        <v>2.48</v>
      </c>
      <c r="T61" t="s" s="55">
        <v>3985</v>
      </c>
      <c r="U61" t="s" s="52">
        <v>3991</v>
      </c>
      <c r="V61" t="s" s="52">
        <v>3835</v>
      </c>
      <c r="W61" s="71">
        <v>1</v>
      </c>
      <c r="X61" s="71">
        <v>-0.21</v>
      </c>
      <c r="Y61" s="60">
        <v>-13.7</v>
      </c>
      <c r="Z61" s="60">
        <v>0.825</v>
      </c>
      <c r="AA61" s="61">
        <v>0.95</v>
      </c>
      <c r="AB61" s="71">
        <v>0.082</v>
      </c>
      <c r="AC61" t="s" s="65">
        <v>3992</v>
      </c>
      <c r="AD61" s="67"/>
      <c r="AE61" s="67"/>
      <c r="AF61" t="s" s="52">
        <v>3993</v>
      </c>
      <c r="AG61" s="63"/>
      <c r="AH61" t="s" s="52">
        <v>1559</v>
      </c>
      <c r="AI61" s="53"/>
    </row>
    <row r="62" ht="60" customHeight="1">
      <c r="A62" t="s" s="46">
        <v>1557</v>
      </c>
      <c r="B62" t="s" s="52">
        <v>3987</v>
      </c>
      <c r="C62" t="s" s="52">
        <v>3988</v>
      </c>
      <c r="D62" t="s" s="52">
        <v>3943</v>
      </c>
      <c r="E62" s="53"/>
      <c r="F62" s="53"/>
      <c r="G62" t="s" s="52">
        <v>3989</v>
      </c>
      <c r="H62" t="s" s="52">
        <v>3987</v>
      </c>
      <c r="I62" s="54">
        <v>66</v>
      </c>
      <c r="J62" s="53"/>
      <c r="K62" t="s" s="52">
        <v>3831</v>
      </c>
      <c r="L62" s="54">
        <v>8</v>
      </c>
      <c r="M62" t="s" s="64">
        <v>3819</v>
      </c>
      <c r="N62" s="56">
        <v>110.2</v>
      </c>
      <c r="O62" t="s" s="52">
        <v>3820</v>
      </c>
      <c r="P62" t="s" s="52">
        <v>3877</v>
      </c>
      <c r="Q62" t="s" s="52">
        <v>3990</v>
      </c>
      <c r="R62" t="s" s="55">
        <v>3819</v>
      </c>
      <c r="S62" s="56">
        <v>2.48</v>
      </c>
      <c r="T62" t="s" s="55">
        <v>3985</v>
      </c>
      <c r="U62" t="s" s="52">
        <v>3991</v>
      </c>
      <c r="V62" t="s" s="52">
        <v>3835</v>
      </c>
      <c r="W62" s="71">
        <v>1</v>
      </c>
      <c r="X62" s="71">
        <v>-0.22</v>
      </c>
      <c r="Y62" s="60">
        <v>-12.4</v>
      </c>
      <c r="Z62" s="60">
        <v>0.537</v>
      </c>
      <c r="AA62" s="61">
        <v>0.95</v>
      </c>
      <c r="AB62" s="71">
        <v>0.07099999999999999</v>
      </c>
      <c r="AC62" t="s" s="65">
        <v>3992</v>
      </c>
      <c r="AD62" s="67"/>
      <c r="AE62" s="67"/>
      <c r="AF62" t="s" s="52">
        <v>3993</v>
      </c>
      <c r="AG62" s="63"/>
      <c r="AH62" t="s" s="52">
        <v>1559</v>
      </c>
      <c r="AI62" s="53"/>
    </row>
    <row r="63" ht="60" customHeight="1">
      <c r="A63" t="s" s="46">
        <v>1557</v>
      </c>
      <c r="B63" t="s" s="52">
        <v>3987</v>
      </c>
      <c r="C63" t="s" s="52">
        <v>3988</v>
      </c>
      <c r="D63" t="s" s="52">
        <v>3943</v>
      </c>
      <c r="E63" s="53"/>
      <c r="F63" s="53"/>
      <c r="G63" t="s" s="52">
        <v>3989</v>
      </c>
      <c r="H63" t="s" s="52">
        <v>3987</v>
      </c>
      <c r="I63" s="54">
        <v>76</v>
      </c>
      <c r="J63" s="53"/>
      <c r="K63" t="s" s="52">
        <v>3831</v>
      </c>
      <c r="L63" s="54">
        <v>5</v>
      </c>
      <c r="M63" t="s" s="64">
        <v>3819</v>
      </c>
      <c r="N63" s="56">
        <v>105.9</v>
      </c>
      <c r="O63" t="s" s="52">
        <v>3820</v>
      </c>
      <c r="P63" t="s" s="52">
        <v>3922</v>
      </c>
      <c r="Q63" t="s" s="52">
        <v>3994</v>
      </c>
      <c r="R63" t="s" s="55">
        <v>3819</v>
      </c>
      <c r="S63" s="56">
        <v>2.21</v>
      </c>
      <c r="T63" t="s" s="55">
        <v>3985</v>
      </c>
      <c r="U63" t="s" s="52">
        <v>3991</v>
      </c>
      <c r="V63" t="s" s="52">
        <v>3835</v>
      </c>
      <c r="W63" s="71">
        <v>1</v>
      </c>
      <c r="X63" s="71">
        <v>-0.018</v>
      </c>
      <c r="Y63" s="60">
        <v>-6.07</v>
      </c>
      <c r="Z63" s="60">
        <v>5.2</v>
      </c>
      <c r="AA63" s="61">
        <v>0.95</v>
      </c>
      <c r="AB63" s="71">
        <v>0.878</v>
      </c>
      <c r="AC63" t="s" s="65">
        <v>3992</v>
      </c>
      <c r="AD63" s="67"/>
      <c r="AE63" s="67"/>
      <c r="AF63" t="s" s="52">
        <v>3995</v>
      </c>
      <c r="AG63" s="63"/>
      <c r="AH63" t="s" s="52">
        <v>1559</v>
      </c>
      <c r="AI63" s="53"/>
    </row>
    <row r="64" ht="60" customHeight="1">
      <c r="A64" t="s" s="46">
        <v>1557</v>
      </c>
      <c r="B64" t="s" s="52">
        <v>3987</v>
      </c>
      <c r="C64" t="s" s="52">
        <v>3988</v>
      </c>
      <c r="D64" t="s" s="52">
        <v>3943</v>
      </c>
      <c r="E64" s="53"/>
      <c r="F64" s="53"/>
      <c r="G64" t="s" s="52">
        <v>3989</v>
      </c>
      <c r="H64" t="s" s="52">
        <v>3987</v>
      </c>
      <c r="I64" s="54">
        <v>66</v>
      </c>
      <c r="J64" s="53"/>
      <c r="K64" t="s" s="52">
        <v>3831</v>
      </c>
      <c r="L64" s="54">
        <v>8</v>
      </c>
      <c r="M64" t="s" s="64">
        <v>3819</v>
      </c>
      <c r="N64" s="56">
        <v>110.2</v>
      </c>
      <c r="O64" t="s" s="52">
        <v>3820</v>
      </c>
      <c r="P64" t="s" s="52">
        <v>3922</v>
      </c>
      <c r="Q64" t="s" s="52">
        <v>3994</v>
      </c>
      <c r="R64" t="s" s="55">
        <v>3819</v>
      </c>
      <c r="S64" s="56">
        <v>2.21</v>
      </c>
      <c r="T64" t="s" s="55">
        <v>3985</v>
      </c>
      <c r="U64" t="s" s="52">
        <v>3991</v>
      </c>
      <c r="V64" t="s" s="52">
        <v>3835</v>
      </c>
      <c r="W64" s="71">
        <v>1</v>
      </c>
      <c r="X64" s="71">
        <v>0.017</v>
      </c>
      <c r="Y64" s="60">
        <v>-4.45</v>
      </c>
      <c r="Z64" s="60">
        <v>5.15</v>
      </c>
      <c r="AA64" s="61">
        <v>0.95</v>
      </c>
      <c r="AB64" s="71">
        <v>0.883</v>
      </c>
      <c r="AC64" t="s" s="65">
        <v>3992</v>
      </c>
      <c r="AD64" s="67"/>
      <c r="AE64" s="67"/>
      <c r="AF64" t="s" s="52">
        <v>3995</v>
      </c>
      <c r="AG64" s="63"/>
      <c r="AH64" t="s" s="52">
        <v>1559</v>
      </c>
      <c r="AI64" s="53"/>
    </row>
    <row r="65" ht="60" customHeight="1">
      <c r="A65" t="s" s="46">
        <v>1557</v>
      </c>
      <c r="B65" t="s" s="52">
        <v>3987</v>
      </c>
      <c r="C65" t="s" s="52">
        <v>3988</v>
      </c>
      <c r="D65" t="s" s="52">
        <v>3943</v>
      </c>
      <c r="E65" s="53"/>
      <c r="F65" s="53"/>
      <c r="G65" t="s" s="52">
        <v>3989</v>
      </c>
      <c r="H65" t="s" s="52">
        <v>3987</v>
      </c>
      <c r="I65" s="54">
        <v>76</v>
      </c>
      <c r="J65" s="53"/>
      <c r="K65" t="s" s="52">
        <v>3831</v>
      </c>
      <c r="L65" s="54">
        <v>5</v>
      </c>
      <c r="M65" t="s" s="64">
        <v>3819</v>
      </c>
      <c r="N65" s="56">
        <v>105.9</v>
      </c>
      <c r="O65" t="s" s="52">
        <v>3820</v>
      </c>
      <c r="P65" t="s" s="52">
        <v>3821</v>
      </c>
      <c r="Q65" s="53"/>
      <c r="R65" t="s" s="55">
        <v>3819</v>
      </c>
      <c r="S65" s="56">
        <v>2.49</v>
      </c>
      <c r="T65" t="s" s="55">
        <v>3985</v>
      </c>
      <c r="U65" t="s" s="52">
        <v>3991</v>
      </c>
      <c r="V65" t="s" s="52">
        <v>3835</v>
      </c>
      <c r="W65" s="71">
        <v>1</v>
      </c>
      <c r="X65" s="71">
        <v>-0.134</v>
      </c>
      <c r="Y65" s="60">
        <v>-14.9</v>
      </c>
      <c r="Z65" s="60">
        <v>5.27</v>
      </c>
      <c r="AA65" s="61">
        <v>0.95</v>
      </c>
      <c r="AB65" s="71">
        <v>0.342</v>
      </c>
      <c r="AC65" t="s" s="65">
        <v>3992</v>
      </c>
      <c r="AD65" s="67"/>
      <c r="AE65" s="67"/>
      <c r="AF65" t="s" s="52">
        <v>3993</v>
      </c>
      <c r="AG65" s="63"/>
      <c r="AH65" t="s" s="52">
        <v>1559</v>
      </c>
      <c r="AI65" s="53"/>
    </row>
    <row r="66" ht="60" customHeight="1">
      <c r="A66" t="s" s="46">
        <v>1557</v>
      </c>
      <c r="B66" t="s" s="52">
        <v>3987</v>
      </c>
      <c r="C66" t="s" s="52">
        <v>3988</v>
      </c>
      <c r="D66" t="s" s="52">
        <v>3943</v>
      </c>
      <c r="E66" s="53"/>
      <c r="F66" s="53"/>
      <c r="G66" t="s" s="52">
        <v>3989</v>
      </c>
      <c r="H66" t="s" s="52">
        <v>3987</v>
      </c>
      <c r="I66" s="54">
        <v>66</v>
      </c>
      <c r="J66" s="53"/>
      <c r="K66" t="s" s="52">
        <v>3831</v>
      </c>
      <c r="L66" s="54">
        <v>8</v>
      </c>
      <c r="M66" t="s" s="64">
        <v>3819</v>
      </c>
      <c r="N66" s="56">
        <v>110.2</v>
      </c>
      <c r="O66" t="s" s="52">
        <v>3820</v>
      </c>
      <c r="P66" t="s" s="52">
        <v>3983</v>
      </c>
      <c r="Q66" t="s" s="52">
        <v>3996</v>
      </c>
      <c r="R66" t="s" s="55">
        <v>3819</v>
      </c>
      <c r="S66" s="56">
        <v>2.49</v>
      </c>
      <c r="T66" t="s" s="55">
        <v>3985</v>
      </c>
      <c r="U66" t="s" s="52">
        <v>3991</v>
      </c>
      <c r="V66" t="s" s="52">
        <v>3835</v>
      </c>
      <c r="W66" s="71">
        <v>1</v>
      </c>
      <c r="X66" s="71">
        <v>-0.313</v>
      </c>
      <c r="Y66" s="60">
        <v>-17.1</v>
      </c>
      <c r="Z66" s="60">
        <v>-2.16</v>
      </c>
      <c r="AA66" s="61">
        <v>0.95</v>
      </c>
      <c r="AB66" s="71">
        <v>0.0012</v>
      </c>
      <c r="AC66" t="s" s="65">
        <v>3992</v>
      </c>
      <c r="AD66" s="67"/>
      <c r="AE66" s="67"/>
      <c r="AF66" t="s" s="52">
        <v>3993</v>
      </c>
      <c r="AG66" s="63"/>
      <c r="AH66" t="s" s="52">
        <v>1559</v>
      </c>
      <c r="AI66" s="53"/>
    </row>
    <row r="67" ht="60" customHeight="1">
      <c r="A67" t="s" s="46">
        <v>1557</v>
      </c>
      <c r="B67" t="s" s="52">
        <v>3987</v>
      </c>
      <c r="C67" t="s" s="52">
        <v>3988</v>
      </c>
      <c r="D67" t="s" s="52">
        <v>3943</v>
      </c>
      <c r="E67" s="53"/>
      <c r="F67" s="53"/>
      <c r="G67" t="s" s="52">
        <v>3989</v>
      </c>
      <c r="H67" t="s" s="52">
        <v>3987</v>
      </c>
      <c r="I67" s="54">
        <v>62</v>
      </c>
      <c r="J67" s="53"/>
      <c r="K67" t="s" s="52">
        <v>3831</v>
      </c>
      <c r="L67" s="54">
        <v>8</v>
      </c>
      <c r="M67" t="s" s="64">
        <v>3819</v>
      </c>
      <c r="N67" s="56">
        <v>110.2</v>
      </c>
      <c r="O67" t="s" s="52">
        <v>3820</v>
      </c>
      <c r="P67" t="s" s="52">
        <v>3879</v>
      </c>
      <c r="Q67" t="s" s="52">
        <v>3997</v>
      </c>
      <c r="R67" t="s" s="55">
        <v>3819</v>
      </c>
      <c r="S67" s="56">
        <v>2.33</v>
      </c>
      <c r="T67" t="s" s="55">
        <v>3985</v>
      </c>
      <c r="U67" t="s" s="52">
        <v>3991</v>
      </c>
      <c r="V67" t="s" s="52">
        <v>3835</v>
      </c>
      <c r="W67" s="71">
        <v>1</v>
      </c>
      <c r="X67" s="71">
        <v>-0.289</v>
      </c>
      <c r="Y67" s="60">
        <v>-16.9</v>
      </c>
      <c r="Z67" s="60">
        <v>-1.48</v>
      </c>
      <c r="AA67" s="61">
        <v>0.95</v>
      </c>
      <c r="AB67" s="71">
        <v>0.01</v>
      </c>
      <c r="AC67" t="s" s="65">
        <v>3992</v>
      </c>
      <c r="AD67" s="67"/>
      <c r="AE67" s="67"/>
      <c r="AF67" t="s" s="52">
        <v>3993</v>
      </c>
      <c r="AG67" s="63"/>
      <c r="AH67" t="s" s="52">
        <v>1559</v>
      </c>
      <c r="AI67" s="53"/>
    </row>
    <row r="68" ht="60" customHeight="1">
      <c r="A68" t="s" s="46">
        <v>1557</v>
      </c>
      <c r="B68" t="s" s="52">
        <v>3987</v>
      </c>
      <c r="C68" t="s" s="52">
        <v>3988</v>
      </c>
      <c r="D68" t="s" s="52">
        <v>3943</v>
      </c>
      <c r="E68" s="53"/>
      <c r="F68" s="53"/>
      <c r="G68" t="s" s="52">
        <v>3989</v>
      </c>
      <c r="H68" t="s" s="52">
        <v>3987</v>
      </c>
      <c r="I68" s="54">
        <v>66</v>
      </c>
      <c r="J68" s="53"/>
      <c r="K68" t="s" s="52">
        <v>3831</v>
      </c>
      <c r="L68" s="54">
        <v>8</v>
      </c>
      <c r="M68" t="s" s="64">
        <v>3819</v>
      </c>
      <c r="N68" s="56">
        <v>110.2</v>
      </c>
      <c r="O68" t="s" s="52">
        <v>3820</v>
      </c>
      <c r="P68" t="s" s="52">
        <v>3821</v>
      </c>
      <c r="Q68" s="53"/>
      <c r="R68" t="s" s="55">
        <v>3819</v>
      </c>
      <c r="S68" s="56">
        <v>1.97</v>
      </c>
      <c r="T68" t="s" s="55">
        <v>3985</v>
      </c>
      <c r="U68" t="s" s="52">
        <v>3991</v>
      </c>
      <c r="V68" t="s" s="52">
        <v>3835</v>
      </c>
      <c r="W68" s="71">
        <v>1</v>
      </c>
      <c r="X68" s="71">
        <v>-0.219</v>
      </c>
      <c r="Y68" s="60">
        <v>-11.7</v>
      </c>
      <c r="Z68" s="60">
        <v>0.547</v>
      </c>
      <c r="AA68" s="61">
        <v>0.95</v>
      </c>
      <c r="AB68" s="71">
        <v>0.074</v>
      </c>
      <c r="AC68" t="s" s="65">
        <v>3992</v>
      </c>
      <c r="AD68" s="67"/>
      <c r="AE68" s="67"/>
      <c r="AF68" t="s" s="52">
        <v>3993</v>
      </c>
      <c r="AG68" s="63"/>
      <c r="AH68" t="s" s="52">
        <v>1559</v>
      </c>
      <c r="AI68" s="53"/>
    </row>
    <row r="69" ht="90" customHeight="1">
      <c r="A69" t="s" s="46">
        <v>1557</v>
      </c>
      <c r="B69" t="s" s="52">
        <v>3987</v>
      </c>
      <c r="C69" t="s" s="52">
        <v>3988</v>
      </c>
      <c r="D69" t="s" s="52">
        <v>3943</v>
      </c>
      <c r="E69" s="53"/>
      <c r="F69" s="53"/>
      <c r="G69" t="s" s="52">
        <v>3989</v>
      </c>
      <c r="H69" t="s" s="52">
        <v>3987</v>
      </c>
      <c r="I69" s="54">
        <v>133</v>
      </c>
      <c r="J69" s="53"/>
      <c r="K69" t="s" s="52">
        <v>3831</v>
      </c>
      <c r="L69" t="s" s="52">
        <v>3998</v>
      </c>
      <c r="M69" t="s" s="64">
        <v>3819</v>
      </c>
      <c r="N69" s="75" cm="1">
        <f t="array" ref="N69">105.9*76/(76+66)+110.2*66/(76+66)</f>
        <v>107.898591549296</v>
      </c>
      <c r="O69" t="s" s="52">
        <v>3820</v>
      </c>
      <c r="P69" t="s" s="52">
        <v>3922</v>
      </c>
      <c r="Q69" t="s" s="52">
        <v>3994</v>
      </c>
      <c r="R69" t="s" s="55">
        <v>3819</v>
      </c>
      <c r="S69" s="56">
        <v>2.21</v>
      </c>
      <c r="T69" t="s" s="55">
        <v>3985</v>
      </c>
      <c r="U69" t="s" s="52">
        <v>3991</v>
      </c>
      <c r="V69" t="s" s="52">
        <v>3835</v>
      </c>
      <c r="W69" s="71">
        <v>1</v>
      </c>
      <c r="X69" s="71">
        <v>-0.299</v>
      </c>
      <c r="Y69" s="60">
        <v>-4.6698</v>
      </c>
      <c r="Z69" s="60">
        <v>4.0718</v>
      </c>
      <c r="AA69" s="61">
        <v>0.95</v>
      </c>
      <c r="AB69" s="60">
        <v>0.894</v>
      </c>
      <c r="AC69" s="60">
        <v>2.23</v>
      </c>
      <c r="AD69" s="67" cm="1">
        <f t="array" ref="AD69">X69-1.96*AC69</f>
        <v>-4.6698</v>
      </c>
      <c r="AE69" s="67" cm="1">
        <f t="array" ref="AE69">X69+1.96*AC69</f>
        <v>4.0718</v>
      </c>
      <c r="AF69" t="s" s="52">
        <v>3999</v>
      </c>
      <c r="AG69" s="63"/>
      <c r="AH69" t="s" s="52">
        <v>1559</v>
      </c>
      <c r="AI69" s="53"/>
    </row>
    <row r="70" ht="90" customHeight="1">
      <c r="A70" t="s" s="46">
        <v>1557</v>
      </c>
      <c r="B70" t="s" s="52">
        <v>3987</v>
      </c>
      <c r="C70" t="s" s="52">
        <v>3988</v>
      </c>
      <c r="D70" t="s" s="52">
        <v>3943</v>
      </c>
      <c r="E70" s="53"/>
      <c r="F70" s="53"/>
      <c r="G70" t="s" s="52">
        <v>3989</v>
      </c>
      <c r="H70" t="s" s="52">
        <v>3987</v>
      </c>
      <c r="I70" s="54">
        <v>133</v>
      </c>
      <c r="J70" s="53"/>
      <c r="K70" t="s" s="52">
        <v>3831</v>
      </c>
      <c r="L70" t="s" s="52">
        <v>3998</v>
      </c>
      <c r="M70" t="s" s="64">
        <v>3819</v>
      </c>
      <c r="N70" s="75" cm="1">
        <f t="array" ref="N70">105.9*76/(76+66)+110.2*66/(76+66)</f>
        <v>107.898591549296</v>
      </c>
      <c r="O70" t="s" s="52">
        <v>3820</v>
      </c>
      <c r="P70" t="s" s="52">
        <v>3879</v>
      </c>
      <c r="Q70" t="s" s="52">
        <v>3997</v>
      </c>
      <c r="R70" t="s" s="55">
        <v>3819</v>
      </c>
      <c r="S70" s="56">
        <v>2.33</v>
      </c>
      <c r="T70" t="s" s="55">
        <v>3985</v>
      </c>
      <c r="U70" t="s" s="52">
        <v>3991</v>
      </c>
      <c r="V70" t="s" s="52">
        <v>3835</v>
      </c>
      <c r="W70" s="71">
        <v>1</v>
      </c>
      <c r="X70" s="71">
        <v>-5.97</v>
      </c>
      <c r="Y70" s="60">
        <v>-11.0464</v>
      </c>
      <c r="Z70" s="60">
        <v>-0.8935999999999999</v>
      </c>
      <c r="AA70" s="61">
        <v>0.95</v>
      </c>
      <c r="AB70" s="60">
        <v>0.025</v>
      </c>
      <c r="AC70" s="60">
        <v>2.59</v>
      </c>
      <c r="AD70" s="67" cm="1">
        <f t="array" ref="AD70">X70-1.96*AC70</f>
        <v>-11.0464</v>
      </c>
      <c r="AE70" s="67" cm="1">
        <f t="array" ref="AE70">X70+1.96*AC70</f>
        <v>-0.8935999999999999</v>
      </c>
      <c r="AF70" t="s" s="52">
        <v>3999</v>
      </c>
      <c r="AG70" s="63"/>
      <c r="AH70" t="s" s="52">
        <v>1559</v>
      </c>
      <c r="AI70" s="53"/>
    </row>
    <row r="71" ht="60" customHeight="1">
      <c r="A71" t="s" s="46">
        <v>1584</v>
      </c>
      <c r="B71" t="s" s="52">
        <v>4000</v>
      </c>
      <c r="C71" t="s" s="52">
        <v>4001</v>
      </c>
      <c r="D71" t="s" s="52">
        <v>4002</v>
      </c>
      <c r="E71" t="s" s="52">
        <v>3930</v>
      </c>
      <c r="F71" t="s" s="52">
        <v>4003</v>
      </c>
      <c r="G71" t="s" s="52">
        <v>4004</v>
      </c>
      <c r="H71" t="s" s="52">
        <v>3815</v>
      </c>
      <c r="I71" s="54">
        <v>179</v>
      </c>
      <c r="J71" t="s" s="52">
        <v>3816</v>
      </c>
      <c r="K71" t="s" s="52">
        <v>3955</v>
      </c>
      <c r="L71" t="s" s="52">
        <v>4005</v>
      </c>
      <c r="M71" t="s" s="55">
        <v>3819</v>
      </c>
      <c r="N71" s="56">
        <v>104.1</v>
      </c>
      <c r="O71" t="s" s="52">
        <v>3820</v>
      </c>
      <c r="P71" t="s" s="52">
        <v>3877</v>
      </c>
      <c r="Q71" s="54">
        <v>5</v>
      </c>
      <c r="R71" t="s" s="55">
        <v>3819</v>
      </c>
      <c r="S71" s="56">
        <v>10.8</v>
      </c>
      <c r="T71" t="s" s="55">
        <v>3985</v>
      </c>
      <c r="U71" t="s" s="52">
        <v>3850</v>
      </c>
      <c r="V71" t="s" s="52">
        <v>3835</v>
      </c>
      <c r="W71" s="71">
        <v>1</v>
      </c>
      <c r="X71" s="71">
        <v>-0.14</v>
      </c>
      <c r="Y71" s="60">
        <v>-0.45</v>
      </c>
      <c r="Z71" s="60">
        <v>0.16</v>
      </c>
      <c r="AA71" s="61">
        <v>0.95</v>
      </c>
      <c r="AB71" s="71">
        <v>0.353</v>
      </c>
      <c r="AC71" s="59">
        <v>0.15</v>
      </c>
      <c r="AD71" s="67" cm="1">
        <f t="array" ref="AD71">X71-1.96*AC71</f>
        <v>-0.434</v>
      </c>
      <c r="AE71" s="67" cm="1">
        <f t="array" ref="AE71">X71+1.96*AC71</f>
        <v>0.154</v>
      </c>
      <c r="AF71" t="s" s="52">
        <v>4006</v>
      </c>
      <c r="AG71" s="63"/>
      <c r="AH71" t="s" s="52">
        <v>3871</v>
      </c>
      <c r="AI71" s="53"/>
    </row>
    <row r="72" ht="60" customHeight="1">
      <c r="A72" t="s" s="46">
        <v>1584</v>
      </c>
      <c r="B72" t="s" s="52">
        <v>4000</v>
      </c>
      <c r="C72" t="s" s="52">
        <v>4001</v>
      </c>
      <c r="D72" t="s" s="52">
        <v>4002</v>
      </c>
      <c r="E72" t="s" s="52">
        <v>3930</v>
      </c>
      <c r="F72" t="s" s="52">
        <v>4003</v>
      </c>
      <c r="G72" t="s" s="52">
        <v>4004</v>
      </c>
      <c r="H72" t="s" s="52">
        <v>3815</v>
      </c>
      <c r="I72" s="54">
        <v>179</v>
      </c>
      <c r="J72" t="s" s="52">
        <v>3816</v>
      </c>
      <c r="K72" t="s" s="52">
        <v>3955</v>
      </c>
      <c r="L72" t="s" s="52">
        <v>4005</v>
      </c>
      <c r="M72" t="s" s="55">
        <v>3819</v>
      </c>
      <c r="N72" s="56">
        <v>104.1</v>
      </c>
      <c r="O72" t="s" s="52">
        <v>3820</v>
      </c>
      <c r="P72" t="s" s="52">
        <v>3821</v>
      </c>
      <c r="Q72" s="53"/>
      <c r="R72" t="s" s="55">
        <v>3819</v>
      </c>
      <c r="S72" s="56">
        <v>3.5</v>
      </c>
      <c r="T72" t="s" s="55">
        <v>3985</v>
      </c>
      <c r="U72" t="s" s="52">
        <v>3850</v>
      </c>
      <c r="V72" t="s" s="52">
        <v>3835</v>
      </c>
      <c r="W72" s="71">
        <v>1</v>
      </c>
      <c r="X72" s="71">
        <v>-0.9399999999999999</v>
      </c>
      <c r="Y72" s="60">
        <v>-1.77</v>
      </c>
      <c r="Z72" s="60">
        <v>-0.11</v>
      </c>
      <c r="AA72" s="61">
        <v>0.95</v>
      </c>
      <c r="AB72" s="71">
        <v>0.026</v>
      </c>
      <c r="AC72" s="59">
        <v>0.42</v>
      </c>
      <c r="AD72" s="67" cm="1">
        <f t="array" ref="AD72">X72-1.96*AC72</f>
        <v>-1.7632</v>
      </c>
      <c r="AE72" s="67" cm="1">
        <f t="array" ref="AE72">X72+1.96*AC72</f>
        <v>-0.1168</v>
      </c>
      <c r="AF72" t="s" s="52">
        <v>4006</v>
      </c>
      <c r="AG72" s="63"/>
      <c r="AH72" t="s" s="52">
        <v>3871</v>
      </c>
      <c r="AI72" s="53"/>
    </row>
    <row r="73" ht="75" customHeight="1">
      <c r="A73" t="s" s="46">
        <v>1692</v>
      </c>
      <c r="B73" t="s" s="52">
        <v>3815</v>
      </c>
      <c r="C73" t="s" s="52">
        <v>4007</v>
      </c>
      <c r="D73" t="s" s="78">
        <v>3864</v>
      </c>
      <c r="E73" s="80"/>
      <c r="F73" t="s" s="52">
        <v>4008</v>
      </c>
      <c r="G73" t="s" s="78">
        <v>4009</v>
      </c>
      <c r="H73" t="s" s="52">
        <v>3815</v>
      </c>
      <c r="I73" s="54">
        <v>174</v>
      </c>
      <c r="J73" t="s" s="52">
        <v>3816</v>
      </c>
      <c r="K73" t="s" s="52">
        <v>4010</v>
      </c>
      <c r="L73" s="54">
        <v>6</v>
      </c>
      <c r="M73" t="s" s="55">
        <v>3819</v>
      </c>
      <c r="N73" s="56">
        <v>85.40000000000001</v>
      </c>
      <c r="O73" t="s" s="52">
        <v>3820</v>
      </c>
      <c r="P73" t="s" s="52">
        <v>3851</v>
      </c>
      <c r="Q73" t="s" s="52">
        <v>4011</v>
      </c>
      <c r="R73" t="s" s="55">
        <v>3819</v>
      </c>
      <c r="S73" s="56">
        <v>11.4</v>
      </c>
      <c r="T73" t="s" s="55">
        <v>3985</v>
      </c>
      <c r="U73" t="s" s="52">
        <v>3850</v>
      </c>
      <c r="V73" t="s" s="52">
        <v>3857</v>
      </c>
      <c r="W73" s="58"/>
      <c r="X73" s="58"/>
      <c r="Y73" s="60"/>
      <c r="Z73" s="60"/>
      <c r="AA73" s="61"/>
      <c r="AB73" s="58"/>
      <c r="AC73" s="66"/>
      <c r="AD73" s="80"/>
      <c r="AE73" s="80"/>
      <c r="AF73" t="s" s="52">
        <v>4012</v>
      </c>
      <c r="AG73" s="81"/>
      <c r="AH73" t="s" s="52">
        <v>45</v>
      </c>
      <c r="AI73" s="53"/>
    </row>
    <row r="74" ht="75" customHeight="1">
      <c r="A74" t="s" s="46">
        <v>1692</v>
      </c>
      <c r="B74" t="s" s="52">
        <v>3815</v>
      </c>
      <c r="C74" t="s" s="52">
        <v>4007</v>
      </c>
      <c r="D74" t="s" s="78">
        <v>3864</v>
      </c>
      <c r="E74" s="80"/>
      <c r="F74" t="s" s="52">
        <v>4008</v>
      </c>
      <c r="G74" t="s" s="78">
        <v>4009</v>
      </c>
      <c r="H74" t="s" s="52">
        <v>3815</v>
      </c>
      <c r="I74" s="54">
        <v>174</v>
      </c>
      <c r="J74" t="s" s="52">
        <v>3816</v>
      </c>
      <c r="K74" t="s" s="52">
        <v>4010</v>
      </c>
      <c r="L74" s="54">
        <v>6</v>
      </c>
      <c r="M74" t="s" s="55">
        <v>3819</v>
      </c>
      <c r="N74" s="56">
        <v>85.40000000000001</v>
      </c>
      <c r="O74" t="s" s="52">
        <v>3820</v>
      </c>
      <c r="P74" t="s" s="52">
        <v>3821</v>
      </c>
      <c r="Q74" s="54">
        <v>6</v>
      </c>
      <c r="R74" t="s" s="55">
        <v>3819</v>
      </c>
      <c r="S74" s="56">
        <v>5</v>
      </c>
      <c r="T74" t="s" s="55">
        <v>3985</v>
      </c>
      <c r="U74" t="s" s="52">
        <v>3850</v>
      </c>
      <c r="V74" t="s" s="68">
        <v>4013</v>
      </c>
      <c r="W74" s="58"/>
      <c r="X74" s="58"/>
      <c r="Y74" s="60"/>
      <c r="Z74" s="60"/>
      <c r="AA74" s="61"/>
      <c r="AB74" s="58"/>
      <c r="AC74" s="66"/>
      <c r="AD74" s="80"/>
      <c r="AE74" s="80"/>
      <c r="AF74" t="s" s="52">
        <v>4012</v>
      </c>
      <c r="AG74" s="81"/>
      <c r="AH74" t="s" s="52">
        <v>45</v>
      </c>
      <c r="AI74" s="53"/>
    </row>
    <row r="75" ht="75" customHeight="1">
      <c r="A75" t="s" s="46">
        <v>1692</v>
      </c>
      <c r="B75" t="s" s="52">
        <v>3815</v>
      </c>
      <c r="C75" t="s" s="52">
        <v>4007</v>
      </c>
      <c r="D75" t="s" s="78">
        <v>3864</v>
      </c>
      <c r="E75" s="80"/>
      <c r="F75" t="s" s="52">
        <v>4008</v>
      </c>
      <c r="G75" t="s" s="78">
        <v>4009</v>
      </c>
      <c r="H75" t="s" s="52">
        <v>3815</v>
      </c>
      <c r="I75" s="54">
        <v>174</v>
      </c>
      <c r="J75" t="s" s="52">
        <v>3816</v>
      </c>
      <c r="K75" t="s" s="52">
        <v>4010</v>
      </c>
      <c r="L75" s="54">
        <v>6</v>
      </c>
      <c r="M75" t="s" s="55">
        <v>3819</v>
      </c>
      <c r="N75" s="56">
        <v>85.40000000000001</v>
      </c>
      <c r="O75" t="s" s="52">
        <v>3820</v>
      </c>
      <c r="P75" t="s" s="52">
        <v>3879</v>
      </c>
      <c r="Q75" t="s" s="52">
        <v>4011</v>
      </c>
      <c r="R75" t="s" s="55">
        <v>3819</v>
      </c>
      <c r="S75" s="56">
        <v>7.2</v>
      </c>
      <c r="T75" t="s" s="55">
        <v>3985</v>
      </c>
      <c r="U75" t="s" s="52">
        <v>3850</v>
      </c>
      <c r="V75" t="s" s="68">
        <v>4013</v>
      </c>
      <c r="W75" s="58"/>
      <c r="X75" s="58"/>
      <c r="Y75" s="60"/>
      <c r="Z75" s="60"/>
      <c r="AA75" s="61"/>
      <c r="AB75" s="58"/>
      <c r="AC75" s="66"/>
      <c r="AD75" s="80"/>
      <c r="AE75" s="80"/>
      <c r="AF75" t="s" s="52">
        <v>4012</v>
      </c>
      <c r="AG75" s="81"/>
      <c r="AH75" t="s" s="52">
        <v>45</v>
      </c>
      <c r="AI75" s="53"/>
    </row>
    <row r="76" ht="75" customHeight="1">
      <c r="A76" t="s" s="46">
        <v>1692</v>
      </c>
      <c r="B76" t="s" s="52">
        <v>3815</v>
      </c>
      <c r="C76" t="s" s="52">
        <v>4007</v>
      </c>
      <c r="D76" t="s" s="78">
        <v>3864</v>
      </c>
      <c r="E76" s="80"/>
      <c r="F76" t="s" s="52">
        <v>4008</v>
      </c>
      <c r="G76" t="s" s="78">
        <v>4009</v>
      </c>
      <c r="H76" t="s" s="52">
        <v>3815</v>
      </c>
      <c r="I76" s="54">
        <v>174</v>
      </c>
      <c r="J76" t="s" s="52">
        <v>3816</v>
      </c>
      <c r="K76" t="s" s="52">
        <v>4010</v>
      </c>
      <c r="L76" s="54">
        <v>6</v>
      </c>
      <c r="M76" t="s" s="55">
        <v>3819</v>
      </c>
      <c r="N76" s="56">
        <v>85.40000000000001</v>
      </c>
      <c r="O76" t="s" s="52">
        <v>3820</v>
      </c>
      <c r="P76" t="s" s="52">
        <v>3877</v>
      </c>
      <c r="Q76" s="53"/>
      <c r="R76" t="s" s="55">
        <v>3819</v>
      </c>
      <c r="S76" s="56">
        <v>7.1</v>
      </c>
      <c r="T76" t="s" s="55">
        <v>3985</v>
      </c>
      <c r="U76" t="s" s="52">
        <v>3850</v>
      </c>
      <c r="V76" t="s" s="68">
        <v>4013</v>
      </c>
      <c r="W76" s="58"/>
      <c r="X76" s="58"/>
      <c r="Y76" s="60"/>
      <c r="Z76" s="60"/>
      <c r="AA76" s="61"/>
      <c r="AB76" s="58"/>
      <c r="AC76" s="66"/>
      <c r="AD76" s="80"/>
      <c r="AE76" s="80"/>
      <c r="AF76" t="s" s="52">
        <v>4012</v>
      </c>
      <c r="AG76" s="81"/>
      <c r="AH76" t="s" s="52">
        <v>45</v>
      </c>
      <c r="AI76" s="53"/>
    </row>
    <row r="77" ht="75" customHeight="1">
      <c r="A77" t="s" s="46">
        <v>1787</v>
      </c>
      <c r="B77" t="s" s="52">
        <v>3815</v>
      </c>
      <c r="C77" t="s" s="52">
        <v>4014</v>
      </c>
      <c r="D77" t="s" s="78">
        <v>3943</v>
      </c>
      <c r="E77" s="80"/>
      <c r="F77" t="s" s="52">
        <v>4015</v>
      </c>
      <c r="G77" s="82">
        <v>2007</v>
      </c>
      <c r="H77" t="s" s="52">
        <v>3815</v>
      </c>
      <c r="I77" s="54">
        <v>261</v>
      </c>
      <c r="J77" t="s" s="52">
        <v>3816</v>
      </c>
      <c r="K77" t="s" s="52">
        <v>3969</v>
      </c>
      <c r="L77" s="54">
        <v>10</v>
      </c>
      <c r="M77" t="s" s="55">
        <v>3819</v>
      </c>
      <c r="N77" s="56">
        <v>104.8</v>
      </c>
      <c r="O77" t="s" s="52">
        <v>3820</v>
      </c>
      <c r="P77" t="s" s="52">
        <v>3821</v>
      </c>
      <c r="Q77" s="53"/>
      <c r="R77" t="s" s="55">
        <v>3819</v>
      </c>
      <c r="S77" s="56">
        <v>1.73</v>
      </c>
      <c r="T77" t="s" s="55">
        <v>3822</v>
      </c>
      <c r="U77" t="s" s="52">
        <v>3910</v>
      </c>
      <c r="V77" t="s" s="52">
        <v>3835</v>
      </c>
      <c r="W77" s="71">
        <v>1</v>
      </c>
      <c r="X77" s="71">
        <v>-0.17</v>
      </c>
      <c r="Y77" t="s" s="76">
        <v>3814</v>
      </c>
      <c r="Z77" t="s" s="76">
        <v>3814</v>
      </c>
      <c r="AA77" t="s" s="65">
        <v>3814</v>
      </c>
      <c r="AB77" t="s" s="65">
        <v>4016</v>
      </c>
      <c r="AC77" s="66"/>
      <c r="AD77" s="80"/>
      <c r="AE77" s="80"/>
      <c r="AF77" t="s" s="52">
        <v>4017</v>
      </c>
      <c r="AG77" s="81"/>
      <c r="AH77" t="s" s="52">
        <v>4018</v>
      </c>
      <c r="AI77" s="53"/>
    </row>
    <row r="78" ht="75" customHeight="1">
      <c r="A78" t="s" s="46">
        <v>1787</v>
      </c>
      <c r="B78" t="s" s="52">
        <v>3815</v>
      </c>
      <c r="C78" t="s" s="52">
        <v>4014</v>
      </c>
      <c r="D78" t="s" s="78">
        <v>3943</v>
      </c>
      <c r="E78" s="80"/>
      <c r="F78" t="s" s="52">
        <v>4015</v>
      </c>
      <c r="G78" s="82">
        <v>2007</v>
      </c>
      <c r="H78" t="s" s="52">
        <v>3815</v>
      </c>
      <c r="I78" s="54">
        <v>261</v>
      </c>
      <c r="J78" t="s" s="52">
        <v>3816</v>
      </c>
      <c r="K78" t="s" s="52">
        <v>3969</v>
      </c>
      <c r="L78" s="54">
        <v>10</v>
      </c>
      <c r="M78" t="s" s="55">
        <v>3819</v>
      </c>
      <c r="N78" s="56">
        <v>104.8</v>
      </c>
      <c r="O78" t="s" s="52">
        <v>3820</v>
      </c>
      <c r="P78" t="s" s="52">
        <v>3821</v>
      </c>
      <c r="Q78" s="53"/>
      <c r="R78" t="s" s="55">
        <v>3819</v>
      </c>
      <c r="S78" s="56">
        <v>1.73</v>
      </c>
      <c r="T78" t="s" s="55">
        <v>3822</v>
      </c>
      <c r="U78" t="s" s="52">
        <v>3910</v>
      </c>
      <c r="V78" t="s" s="68">
        <v>4019</v>
      </c>
      <c r="W78" s="71">
        <v>1</v>
      </c>
      <c r="X78" s="71">
        <v>-12.14</v>
      </c>
      <c r="Y78" s="60">
        <v>-50.164</v>
      </c>
      <c r="Z78" s="60">
        <v>25.884</v>
      </c>
      <c r="AA78" s="61">
        <v>0.95</v>
      </c>
      <c r="AB78" s="58"/>
      <c r="AC78" s="66">
        <v>19.4</v>
      </c>
      <c r="AD78" s="80"/>
      <c r="AE78" s="80"/>
      <c r="AF78" t="s" s="52">
        <v>4017</v>
      </c>
      <c r="AG78" s="81"/>
      <c r="AH78" t="s" s="68">
        <v>4020</v>
      </c>
      <c r="AI78" s="53"/>
    </row>
    <row r="79" ht="45" customHeight="1">
      <c r="A79" t="s" s="46">
        <v>1908</v>
      </c>
      <c r="B79" t="s" s="68">
        <v>4021</v>
      </c>
      <c r="C79" t="s" s="52">
        <v>4022</v>
      </c>
      <c r="D79" t="s" s="52">
        <v>3841</v>
      </c>
      <c r="E79" t="s" s="52">
        <v>3865</v>
      </c>
      <c r="F79" t="s" s="52">
        <v>4023</v>
      </c>
      <c r="G79" s="53"/>
      <c r="H79" s="53"/>
      <c r="I79" s="54">
        <v>118</v>
      </c>
      <c r="J79" t="s" s="52">
        <v>3816</v>
      </c>
      <c r="K79" t="s" s="52">
        <v>4024</v>
      </c>
      <c r="L79" t="s" s="52">
        <v>3946</v>
      </c>
      <c r="M79" t="s" s="55">
        <v>3819</v>
      </c>
      <c r="N79" s="56">
        <v>93.40000000000001</v>
      </c>
      <c r="O79" t="s" s="52">
        <v>3820</v>
      </c>
      <c r="P79" t="s" s="52">
        <v>4025</v>
      </c>
      <c r="Q79" s="53"/>
      <c r="R79" s="72"/>
      <c r="S79" s="72"/>
      <c r="T79" s="72"/>
      <c r="U79" t="s" s="52">
        <v>3850</v>
      </c>
      <c r="V79" t="s" s="52">
        <v>4026</v>
      </c>
      <c r="W79" s="71">
        <v>1</v>
      </c>
      <c r="X79" s="71">
        <v>-2.53</v>
      </c>
      <c r="Y79" s="60">
        <v>-4.48</v>
      </c>
      <c r="Z79" s="60">
        <v>-0.58</v>
      </c>
      <c r="AA79" s="61">
        <v>0.95</v>
      </c>
      <c r="AB79" s="58"/>
      <c r="AC79" s="59">
        <v>0.994897959183674</v>
      </c>
      <c r="AD79" s="67"/>
      <c r="AE79" s="67"/>
      <c r="AF79" t="s" s="52">
        <v>4027</v>
      </c>
      <c r="AG79" s="63"/>
      <c r="AH79" t="s" s="52">
        <v>1518</v>
      </c>
      <c r="AI79" s="53"/>
    </row>
    <row r="80" ht="45" customHeight="1">
      <c r="A80" t="s" s="46">
        <v>1908</v>
      </c>
      <c r="B80" t="s" s="68">
        <v>4021</v>
      </c>
      <c r="C80" t="s" s="52">
        <v>4022</v>
      </c>
      <c r="D80" t="s" s="52">
        <v>3841</v>
      </c>
      <c r="E80" t="s" s="52">
        <v>3865</v>
      </c>
      <c r="F80" t="s" s="52">
        <v>4023</v>
      </c>
      <c r="G80" s="53"/>
      <c r="H80" s="53"/>
      <c r="I80" s="54">
        <v>1215</v>
      </c>
      <c r="J80" t="s" s="52">
        <v>3816</v>
      </c>
      <c r="K80" t="s" s="52">
        <v>4024</v>
      </c>
      <c r="L80" t="s" s="52">
        <v>3946</v>
      </c>
      <c r="M80" t="s" s="55">
        <v>3819</v>
      </c>
      <c r="N80" s="56">
        <v>93.40000000000001</v>
      </c>
      <c r="O80" t="s" s="52">
        <v>3820</v>
      </c>
      <c r="P80" t="s" s="52">
        <v>4028</v>
      </c>
      <c r="Q80" s="53"/>
      <c r="R80" s="72"/>
      <c r="S80" s="72"/>
      <c r="T80" s="72"/>
      <c r="U80" t="s" s="52">
        <v>3850</v>
      </c>
      <c r="V80" t="s" s="52">
        <v>4026</v>
      </c>
      <c r="W80" s="71">
        <v>1</v>
      </c>
      <c r="X80" s="71">
        <v>-0.15</v>
      </c>
      <c r="Y80" s="60">
        <v>-0.23</v>
      </c>
      <c r="Z80" s="60">
        <v>-0.07000000000000001</v>
      </c>
      <c r="AA80" s="61">
        <v>0.95</v>
      </c>
      <c r="AB80" s="58"/>
      <c r="AC80" s="59">
        <v>0.0408163265306122</v>
      </c>
      <c r="AD80" s="67"/>
      <c r="AE80" s="67"/>
      <c r="AF80" t="s" s="52">
        <v>4027</v>
      </c>
      <c r="AG80" s="63"/>
      <c r="AH80" t="s" s="52">
        <v>1518</v>
      </c>
      <c r="AI80" s="53"/>
    </row>
    <row r="81" ht="45" customHeight="1">
      <c r="A81" t="s" s="46">
        <v>1908</v>
      </c>
      <c r="B81" t="s" s="68">
        <v>4021</v>
      </c>
      <c r="C81" t="s" s="52">
        <v>4022</v>
      </c>
      <c r="D81" t="s" s="52">
        <v>3841</v>
      </c>
      <c r="E81" t="s" s="52">
        <v>3865</v>
      </c>
      <c r="F81" t="s" s="52">
        <v>4023</v>
      </c>
      <c r="G81" s="53"/>
      <c r="H81" s="53"/>
      <c r="I81" s="54">
        <v>258</v>
      </c>
      <c r="J81" t="s" s="52">
        <v>3816</v>
      </c>
      <c r="K81" t="s" s="52">
        <v>4024</v>
      </c>
      <c r="L81" t="s" s="52">
        <v>3946</v>
      </c>
      <c r="M81" t="s" s="55">
        <v>3819</v>
      </c>
      <c r="N81" s="56">
        <v>93.40000000000001</v>
      </c>
      <c r="O81" t="s" s="52">
        <v>3820</v>
      </c>
      <c r="P81" t="s" s="52">
        <v>4029</v>
      </c>
      <c r="Q81" s="53"/>
      <c r="R81" s="72"/>
      <c r="S81" s="72"/>
      <c r="T81" s="72"/>
      <c r="U81" t="s" s="52">
        <v>3850</v>
      </c>
      <c r="V81" t="s" s="52">
        <v>4026</v>
      </c>
      <c r="W81" s="71">
        <v>1</v>
      </c>
      <c r="X81" s="71">
        <v>-0.77</v>
      </c>
      <c r="Y81" s="60">
        <v>-1.66</v>
      </c>
      <c r="Z81" s="60">
        <v>0.13</v>
      </c>
      <c r="AA81" s="61">
        <v>0.95</v>
      </c>
      <c r="AB81" s="58"/>
      <c r="AC81" s="59">
        <v>0.456632653061225</v>
      </c>
      <c r="AD81" s="67"/>
      <c r="AE81" s="67"/>
      <c r="AF81" t="s" s="52">
        <v>4027</v>
      </c>
      <c r="AG81" s="63"/>
      <c r="AH81" t="s" s="52">
        <v>1518</v>
      </c>
      <c r="AI81" s="53"/>
    </row>
    <row r="82" ht="45" customHeight="1">
      <c r="A82" t="s" s="46">
        <v>1908</v>
      </c>
      <c r="B82" t="s" s="68">
        <v>4021</v>
      </c>
      <c r="C82" t="s" s="52">
        <v>4022</v>
      </c>
      <c r="D82" t="s" s="52">
        <v>3841</v>
      </c>
      <c r="E82" t="s" s="52">
        <v>3865</v>
      </c>
      <c r="F82" t="s" s="52">
        <v>4023</v>
      </c>
      <c r="G82" s="53"/>
      <c r="H82" s="53"/>
      <c r="I82" s="54">
        <v>1075</v>
      </c>
      <c r="J82" t="s" s="52">
        <v>3816</v>
      </c>
      <c r="K82" t="s" s="52">
        <v>4024</v>
      </c>
      <c r="L82" t="s" s="52">
        <v>3946</v>
      </c>
      <c r="M82" t="s" s="55">
        <v>3819</v>
      </c>
      <c r="N82" s="56">
        <v>93.40000000000001</v>
      </c>
      <c r="O82" t="s" s="52">
        <v>3820</v>
      </c>
      <c r="P82" t="s" s="52">
        <v>4030</v>
      </c>
      <c r="Q82" s="53"/>
      <c r="R82" s="72"/>
      <c r="S82" s="72"/>
      <c r="T82" s="72"/>
      <c r="U82" t="s" s="52">
        <v>3850</v>
      </c>
      <c r="V82" t="s" s="52">
        <v>4026</v>
      </c>
      <c r="W82" s="71">
        <v>1</v>
      </c>
      <c r="X82" s="71">
        <v>-0.13</v>
      </c>
      <c r="Y82" s="60">
        <v>-0.22</v>
      </c>
      <c r="Z82" s="60">
        <v>-0.04</v>
      </c>
      <c r="AA82" s="61">
        <v>0.95</v>
      </c>
      <c r="AB82" s="58"/>
      <c r="AC82" s="59">
        <v>0.0459183673469388</v>
      </c>
      <c r="AD82" s="67"/>
      <c r="AE82" s="67"/>
      <c r="AF82" t="s" s="52">
        <v>4027</v>
      </c>
      <c r="AG82" s="63"/>
      <c r="AH82" t="s" s="52">
        <v>1518</v>
      </c>
      <c r="AI82" s="53"/>
    </row>
    <row r="83" ht="45" customHeight="1">
      <c r="A83" t="s" s="46">
        <v>1908</v>
      </c>
      <c r="B83" t="s" s="68">
        <v>4021</v>
      </c>
      <c r="C83" t="s" s="52">
        <v>4022</v>
      </c>
      <c r="D83" t="s" s="52">
        <v>3841</v>
      </c>
      <c r="E83" t="s" s="52">
        <v>3865</v>
      </c>
      <c r="F83" t="s" s="52">
        <v>4023</v>
      </c>
      <c r="G83" s="53"/>
      <c r="H83" s="53"/>
      <c r="I83" s="54">
        <v>1333</v>
      </c>
      <c r="J83" t="s" s="52">
        <v>3816</v>
      </c>
      <c r="K83" t="s" s="52">
        <v>4024</v>
      </c>
      <c r="L83" t="s" s="52">
        <v>3946</v>
      </c>
      <c r="M83" t="s" s="55">
        <v>3819</v>
      </c>
      <c r="N83" s="56">
        <v>93.40000000000001</v>
      </c>
      <c r="O83" t="s" s="52">
        <v>3820</v>
      </c>
      <c r="P83" t="s" s="52">
        <v>3821</v>
      </c>
      <c r="Q83" s="53"/>
      <c r="R83" t="s" s="55">
        <v>3833</v>
      </c>
      <c r="S83" s="56">
        <v>9.699999999999999</v>
      </c>
      <c r="T83" t="s" s="55">
        <v>3985</v>
      </c>
      <c r="U83" t="s" s="52">
        <v>3850</v>
      </c>
      <c r="V83" t="s" s="52">
        <v>3857</v>
      </c>
      <c r="W83" s="71">
        <v>1</v>
      </c>
      <c r="X83" s="58"/>
      <c r="Y83" s="60"/>
      <c r="Z83" s="60"/>
      <c r="AA83" s="61"/>
      <c r="AB83" s="58"/>
      <c r="AC83" s="59"/>
      <c r="AD83" s="67"/>
      <c r="AE83" s="67"/>
      <c r="AF83" t="s" s="52">
        <v>4027</v>
      </c>
      <c r="AG83" s="63"/>
      <c r="AH83" t="s" s="52">
        <v>1518</v>
      </c>
      <c r="AI83" s="53"/>
    </row>
    <row r="84" ht="45" customHeight="1">
      <c r="A84" t="s" s="46">
        <v>1908</v>
      </c>
      <c r="B84" t="s" s="68">
        <v>4021</v>
      </c>
      <c r="C84" t="s" s="52">
        <v>4022</v>
      </c>
      <c r="D84" t="s" s="52">
        <v>3841</v>
      </c>
      <c r="E84" t="s" s="52">
        <v>3865</v>
      </c>
      <c r="F84" t="s" s="52">
        <v>4023</v>
      </c>
      <c r="G84" s="53"/>
      <c r="H84" s="53"/>
      <c r="I84" s="54">
        <v>1333</v>
      </c>
      <c r="J84" t="s" s="52">
        <v>3816</v>
      </c>
      <c r="K84" t="s" s="52">
        <v>4024</v>
      </c>
      <c r="L84" t="s" s="52">
        <v>3946</v>
      </c>
      <c r="M84" t="s" s="55">
        <v>3819</v>
      </c>
      <c r="N84" s="56">
        <v>93.40000000000001</v>
      </c>
      <c r="O84" t="s" s="52">
        <v>3820</v>
      </c>
      <c r="P84" t="s" s="52">
        <v>3874</v>
      </c>
      <c r="Q84" s="53"/>
      <c r="R84" t="s" s="55">
        <v>3833</v>
      </c>
      <c r="S84" s="56">
        <v>12.7</v>
      </c>
      <c r="T84" t="s" s="55">
        <v>3985</v>
      </c>
      <c r="U84" t="s" s="52">
        <v>3850</v>
      </c>
      <c r="V84" t="s" s="52">
        <v>3835</v>
      </c>
      <c r="W84" s="71">
        <v>1</v>
      </c>
      <c r="X84" s="71">
        <v>-2.21</v>
      </c>
      <c r="Y84" s="60">
        <v>-3.38</v>
      </c>
      <c r="Z84" s="60">
        <v>-1.04</v>
      </c>
      <c r="AA84" s="61">
        <v>0.95</v>
      </c>
      <c r="AB84" s="58"/>
      <c r="AC84" s="66">
        <v>0.596938775510204</v>
      </c>
      <c r="AD84" s="67" cm="1">
        <f t="array" ref="AD84">X84-1.96*AC84</f>
        <v>-3.38</v>
      </c>
      <c r="AE84" s="67" cm="1">
        <f t="array" ref="AE84">X84+1.96*AC84</f>
        <v>-1.04</v>
      </c>
      <c r="AF84" t="s" s="52">
        <v>4031</v>
      </c>
      <c r="AG84" s="63"/>
      <c r="AH84" t="s" s="52">
        <v>1518</v>
      </c>
      <c r="AI84" s="53"/>
    </row>
    <row r="85" ht="45" customHeight="1">
      <c r="A85" t="s" s="46">
        <v>1908</v>
      </c>
      <c r="B85" t="s" s="68">
        <v>4021</v>
      </c>
      <c r="C85" t="s" s="52">
        <v>4022</v>
      </c>
      <c r="D85" t="s" s="52">
        <v>3841</v>
      </c>
      <c r="E85" t="s" s="52">
        <v>3865</v>
      </c>
      <c r="F85" t="s" s="52">
        <v>4023</v>
      </c>
      <c r="G85" s="53"/>
      <c r="H85" s="53"/>
      <c r="I85" s="54">
        <v>1333</v>
      </c>
      <c r="J85" t="s" s="52">
        <v>3816</v>
      </c>
      <c r="K85" t="s" s="52">
        <v>4024</v>
      </c>
      <c r="L85" t="s" s="52">
        <v>3946</v>
      </c>
      <c r="M85" t="s" s="55">
        <v>3819</v>
      </c>
      <c r="N85" s="56">
        <v>93.40000000000001</v>
      </c>
      <c r="O85" t="s" s="52">
        <v>3820</v>
      </c>
      <c r="P85" t="s" s="52">
        <v>3851</v>
      </c>
      <c r="Q85" s="53"/>
      <c r="R85" t="s" s="55">
        <v>3833</v>
      </c>
      <c r="S85" s="56">
        <v>18</v>
      </c>
      <c r="T85" t="s" s="55">
        <v>3985</v>
      </c>
      <c r="U85" t="s" s="52">
        <v>3850</v>
      </c>
      <c r="V85" t="s" s="52">
        <v>3835</v>
      </c>
      <c r="W85" s="71">
        <v>1</v>
      </c>
      <c r="X85" s="71">
        <v>-2.86</v>
      </c>
      <c r="Y85" s="60">
        <v>-4.1</v>
      </c>
      <c r="Z85" s="60">
        <v>-1.61</v>
      </c>
      <c r="AA85" s="61">
        <v>0.95</v>
      </c>
      <c r="AB85" s="58"/>
      <c r="AC85" s="66">
        <v>0.635204081632653</v>
      </c>
      <c r="AD85" s="67" cm="1">
        <f t="array" ref="AD85">X85-1.96*AC85</f>
        <v>-4.105</v>
      </c>
      <c r="AE85" s="67" cm="1">
        <f t="array" ref="AE85">X85+1.96*AC85</f>
        <v>-1.615</v>
      </c>
      <c r="AF85" t="s" s="52">
        <v>4031</v>
      </c>
      <c r="AG85" s="63"/>
      <c r="AH85" t="s" s="52">
        <v>1518</v>
      </c>
      <c r="AI85" s="53"/>
    </row>
    <row r="86" ht="45" customHeight="1">
      <c r="A86" t="s" s="46">
        <v>1908</v>
      </c>
      <c r="B86" t="s" s="68">
        <v>4021</v>
      </c>
      <c r="C86" t="s" s="52">
        <v>4022</v>
      </c>
      <c r="D86" t="s" s="52">
        <v>3841</v>
      </c>
      <c r="E86" t="s" s="52">
        <v>3865</v>
      </c>
      <c r="F86" t="s" s="52">
        <v>4023</v>
      </c>
      <c r="G86" s="53"/>
      <c r="H86" s="53"/>
      <c r="I86" s="54">
        <v>1333</v>
      </c>
      <c r="J86" t="s" s="52">
        <v>3816</v>
      </c>
      <c r="K86" t="s" s="52">
        <v>4024</v>
      </c>
      <c r="L86" t="s" s="52">
        <v>3946</v>
      </c>
      <c r="M86" t="s" s="55">
        <v>3819</v>
      </c>
      <c r="N86" s="56">
        <v>93.40000000000001</v>
      </c>
      <c r="O86" t="s" s="52">
        <v>3820</v>
      </c>
      <c r="P86" t="s" s="52">
        <v>3879</v>
      </c>
      <c r="Q86" s="53"/>
      <c r="R86" t="s" s="55">
        <v>3833</v>
      </c>
      <c r="S86" s="56">
        <v>11.9</v>
      </c>
      <c r="T86" t="s" s="55">
        <v>3985</v>
      </c>
      <c r="U86" t="s" s="52">
        <v>3850</v>
      </c>
      <c r="V86" t="s" s="52">
        <v>3835</v>
      </c>
      <c r="W86" s="71">
        <v>1</v>
      </c>
      <c r="X86" s="71">
        <v>-3.25</v>
      </c>
      <c r="Y86" s="60">
        <v>-4.51</v>
      </c>
      <c r="Z86" s="60">
        <v>-1.99</v>
      </c>
      <c r="AA86" s="61">
        <v>0.95</v>
      </c>
      <c r="AB86" s="58"/>
      <c r="AC86" s="66">
        <v>0.642857142857143</v>
      </c>
      <c r="AD86" s="67" cm="1">
        <f t="array" ref="AD86">X86-1.96*AC86</f>
        <v>-4.51</v>
      </c>
      <c r="AE86" s="67" cm="1">
        <f t="array" ref="AE86">X86+1.96*AC86</f>
        <v>-1.99</v>
      </c>
      <c r="AF86" t="s" s="52">
        <v>4031</v>
      </c>
      <c r="AG86" s="63"/>
      <c r="AH86" t="s" s="52">
        <v>1518</v>
      </c>
      <c r="AI86" s="53"/>
    </row>
    <row r="87" ht="45" customHeight="1">
      <c r="A87" t="s" s="46">
        <v>1908</v>
      </c>
      <c r="B87" t="s" s="68">
        <v>4021</v>
      </c>
      <c r="C87" t="s" s="52">
        <v>4022</v>
      </c>
      <c r="D87" t="s" s="52">
        <v>3841</v>
      </c>
      <c r="E87" t="s" s="52">
        <v>3865</v>
      </c>
      <c r="F87" t="s" s="52">
        <v>4023</v>
      </c>
      <c r="G87" s="53"/>
      <c r="H87" s="53"/>
      <c r="I87" s="54">
        <v>1333</v>
      </c>
      <c r="J87" t="s" s="52">
        <v>3816</v>
      </c>
      <c r="K87" t="s" s="52">
        <v>4024</v>
      </c>
      <c r="L87" t="s" s="52">
        <v>3946</v>
      </c>
      <c r="M87" t="s" s="55">
        <v>3819</v>
      </c>
      <c r="N87" s="56">
        <v>93.40000000000001</v>
      </c>
      <c r="O87" t="s" s="52">
        <v>3820</v>
      </c>
      <c r="P87" t="s" s="52">
        <v>3821</v>
      </c>
      <c r="Q87" s="53"/>
      <c r="R87" t="s" s="55">
        <v>3833</v>
      </c>
      <c r="S87" s="56">
        <v>9.699999999999999</v>
      </c>
      <c r="T87" t="s" s="55">
        <v>3985</v>
      </c>
      <c r="U87" t="s" s="52">
        <v>3850</v>
      </c>
      <c r="V87" t="s" s="52">
        <v>3835</v>
      </c>
      <c r="W87" s="71">
        <v>1</v>
      </c>
      <c r="X87" s="71">
        <v>-2.65</v>
      </c>
      <c r="Y87" s="60">
        <v>-3.69</v>
      </c>
      <c r="Z87" s="60">
        <v>-1.61</v>
      </c>
      <c r="AA87" s="61">
        <v>0.95</v>
      </c>
      <c r="AB87" s="58"/>
      <c r="AC87" s="66">
        <v>0.530612244897959</v>
      </c>
      <c r="AD87" s="67" cm="1">
        <f t="array" ref="AD87">X87-1.96*AC87</f>
        <v>-3.69</v>
      </c>
      <c r="AE87" s="67" cm="1">
        <f t="array" ref="AE87">X87+1.96*AC87</f>
        <v>-1.61</v>
      </c>
      <c r="AF87" t="s" s="52">
        <v>4031</v>
      </c>
      <c r="AG87" s="63"/>
      <c r="AH87" t="s" s="52">
        <v>1518</v>
      </c>
      <c r="AI87" s="53"/>
    </row>
    <row r="88" ht="60" customHeight="1">
      <c r="A88" t="s" s="46">
        <v>1936</v>
      </c>
      <c r="B88" t="s" s="52">
        <v>4032</v>
      </c>
      <c r="C88" t="s" s="52">
        <v>4033</v>
      </c>
      <c r="D88" t="s" s="52">
        <v>3943</v>
      </c>
      <c r="E88" s="53"/>
      <c r="F88" t="s" s="52">
        <v>3918</v>
      </c>
      <c r="G88" t="s" s="52">
        <v>4034</v>
      </c>
      <c r="H88" t="s" s="52">
        <v>3981</v>
      </c>
      <c r="I88" s="54">
        <v>502</v>
      </c>
      <c r="J88" t="s" s="52">
        <v>3816</v>
      </c>
      <c r="K88" t="s" s="52">
        <v>3969</v>
      </c>
      <c r="L88" s="54">
        <v>6</v>
      </c>
      <c r="M88" t="s" s="55">
        <v>3819</v>
      </c>
      <c r="N88" s="56">
        <v>109.9</v>
      </c>
      <c r="O88" t="s" s="52">
        <v>3820</v>
      </c>
      <c r="P88" t="s" s="52">
        <v>3922</v>
      </c>
      <c r="Q88" s="53"/>
      <c r="R88" t="s" s="55">
        <v>3819</v>
      </c>
      <c r="S88" s="56">
        <v>1.32</v>
      </c>
      <c r="T88" t="s" s="55">
        <v>3985</v>
      </c>
      <c r="U88" t="s" s="52">
        <v>3834</v>
      </c>
      <c r="V88" t="s" s="52">
        <v>3835</v>
      </c>
      <c r="W88" s="71">
        <v>1</v>
      </c>
      <c r="X88" s="71">
        <v>-1.62</v>
      </c>
      <c r="Y88" s="60">
        <v>-6.57</v>
      </c>
      <c r="Z88" s="60">
        <v>3.32</v>
      </c>
      <c r="AA88" s="61">
        <v>0.95</v>
      </c>
      <c r="AB88" s="71">
        <v>0.521</v>
      </c>
      <c r="AC88" s="66" cm="1">
        <f t="array" ref="AC88">(Z88-Y88)/(3.92)</f>
        <v>2.52295918367347</v>
      </c>
      <c r="AD88" s="67" cm="1">
        <f t="array" ref="AD88">X88-1.96*AC88</f>
        <v>-6.565</v>
      </c>
      <c r="AE88" s="67" cm="1">
        <f t="array" ref="AE88">X88+1.96*AC88</f>
        <v>3.325</v>
      </c>
      <c r="AF88" t="s" s="52">
        <v>4035</v>
      </c>
      <c r="AG88" s="63"/>
      <c r="AH88" t="s" s="52">
        <v>3899</v>
      </c>
      <c r="AI88" s="53"/>
    </row>
    <row r="89" ht="60" customHeight="1">
      <c r="A89" t="s" s="46">
        <v>1936</v>
      </c>
      <c r="B89" t="s" s="52">
        <v>4032</v>
      </c>
      <c r="C89" t="s" s="52">
        <v>4033</v>
      </c>
      <c r="D89" t="s" s="52">
        <v>3943</v>
      </c>
      <c r="E89" s="53"/>
      <c r="F89" t="s" s="52">
        <v>3918</v>
      </c>
      <c r="G89" t="s" s="52">
        <v>4034</v>
      </c>
      <c r="H89" t="s" s="52">
        <v>3981</v>
      </c>
      <c r="I89" s="54">
        <v>502</v>
      </c>
      <c r="J89" t="s" s="52">
        <v>3816</v>
      </c>
      <c r="K89" t="s" s="52">
        <v>3969</v>
      </c>
      <c r="L89" s="54">
        <v>6</v>
      </c>
      <c r="M89" t="s" s="55">
        <v>3819</v>
      </c>
      <c r="N89" s="56">
        <v>109.9</v>
      </c>
      <c r="O89" t="s" s="52">
        <v>3820</v>
      </c>
      <c r="P89" t="s" s="52">
        <v>3877</v>
      </c>
      <c r="Q89" s="54">
        <v>4</v>
      </c>
      <c r="R89" t="s" s="55">
        <v>3819</v>
      </c>
      <c r="S89" s="56">
        <v>1.43</v>
      </c>
      <c r="T89" t="s" s="55">
        <v>3985</v>
      </c>
      <c r="U89" t="s" s="52">
        <v>3834</v>
      </c>
      <c r="V89" t="s" s="52">
        <v>3835</v>
      </c>
      <c r="W89" s="71">
        <v>1</v>
      </c>
      <c r="X89" s="71">
        <v>-2.69</v>
      </c>
      <c r="Y89" s="60">
        <v>-6.87</v>
      </c>
      <c r="Z89" s="60">
        <v>1.47</v>
      </c>
      <c r="AA89" s="61">
        <v>0.95</v>
      </c>
      <c r="AB89" s="71">
        <v>0.205</v>
      </c>
      <c r="AC89" s="66" cm="1">
        <f t="array" ref="AC89">(Z89-Y89)/(3.92)</f>
        <v>2.12755102040816</v>
      </c>
      <c r="AD89" s="67" cm="1">
        <f t="array" ref="AD89">X89-1.96*AC89</f>
        <v>-6.85999999999999</v>
      </c>
      <c r="AE89" s="67" cm="1">
        <f t="array" ref="AE89">X89+1.96*AC89</f>
        <v>1.47999999999999</v>
      </c>
      <c r="AF89" t="s" s="52">
        <v>4035</v>
      </c>
      <c r="AG89" s="63"/>
      <c r="AH89" t="s" s="52">
        <v>3899</v>
      </c>
      <c r="AI89" s="53"/>
    </row>
    <row r="90" ht="60" customHeight="1">
      <c r="A90" t="s" s="46">
        <v>1936</v>
      </c>
      <c r="B90" t="s" s="52">
        <v>4032</v>
      </c>
      <c r="C90" t="s" s="52">
        <v>4033</v>
      </c>
      <c r="D90" t="s" s="52">
        <v>3943</v>
      </c>
      <c r="E90" s="53"/>
      <c r="F90" t="s" s="52">
        <v>3918</v>
      </c>
      <c r="G90" t="s" s="52">
        <v>4034</v>
      </c>
      <c r="H90" t="s" s="52">
        <v>3981</v>
      </c>
      <c r="I90" s="54">
        <v>502</v>
      </c>
      <c r="J90" t="s" s="52">
        <v>3816</v>
      </c>
      <c r="K90" t="s" s="52">
        <v>3969</v>
      </c>
      <c r="L90" s="54">
        <v>6</v>
      </c>
      <c r="M90" t="s" s="55">
        <v>3819</v>
      </c>
      <c r="N90" s="56">
        <v>109.9</v>
      </c>
      <c r="O90" t="s" s="52">
        <v>3820</v>
      </c>
      <c r="P90" t="s" s="52">
        <v>3821</v>
      </c>
      <c r="Q90" s="54">
        <v>6</v>
      </c>
      <c r="R90" t="s" s="55">
        <v>3819</v>
      </c>
      <c r="S90" s="56">
        <v>1.43</v>
      </c>
      <c r="T90" t="s" s="55">
        <v>3985</v>
      </c>
      <c r="U90" t="s" s="52">
        <v>3834</v>
      </c>
      <c r="V90" t="s" s="52">
        <v>3835</v>
      </c>
      <c r="W90" s="71">
        <v>1</v>
      </c>
      <c r="X90" s="71">
        <v>-3.83</v>
      </c>
      <c r="Y90" s="60">
        <v>-8.25</v>
      </c>
      <c r="Z90" s="60">
        <v>0.57</v>
      </c>
      <c r="AA90" s="61">
        <v>0.95</v>
      </c>
      <c r="AB90" s="71">
        <v>0.089</v>
      </c>
      <c r="AC90" s="66" cm="1">
        <f t="array" ref="AC90">(Z90-Y90)/(3.92)</f>
        <v>2.25</v>
      </c>
      <c r="AD90" s="67" cm="1">
        <f t="array" ref="AD90">X90-1.96*AC90</f>
        <v>-8.24</v>
      </c>
      <c r="AE90" s="67" cm="1">
        <f t="array" ref="AE90">X90+1.96*AC90</f>
        <v>0.58</v>
      </c>
      <c r="AF90" t="s" s="52">
        <v>4035</v>
      </c>
      <c r="AG90" s="63"/>
      <c r="AH90" s="53"/>
      <c r="AI90" t="s" s="52">
        <v>277</v>
      </c>
    </row>
    <row r="91" ht="30" customHeight="1">
      <c r="A91" t="s" s="46">
        <v>1976</v>
      </c>
      <c r="B91" t="s" s="52">
        <v>3815</v>
      </c>
      <c r="C91" t="s" s="52">
        <v>4036</v>
      </c>
      <c r="D91" t="s" s="52">
        <v>3826</v>
      </c>
      <c r="E91" s="53"/>
      <c r="F91" t="s" s="52">
        <v>3931</v>
      </c>
      <c r="G91" t="s" s="52">
        <v>4037</v>
      </c>
      <c r="H91" t="s" s="52">
        <v>3815</v>
      </c>
      <c r="I91" s="54">
        <v>259</v>
      </c>
      <c r="J91" t="s" s="52">
        <v>3816</v>
      </c>
      <c r="K91" t="s" s="52">
        <v>3872</v>
      </c>
      <c r="L91" t="s" s="52">
        <v>4005</v>
      </c>
      <c r="M91" s="72"/>
      <c r="N91" t="s" s="55">
        <v>3814</v>
      </c>
      <c r="O91" t="s" s="52">
        <v>3820</v>
      </c>
      <c r="P91" t="s" s="52">
        <v>3821</v>
      </c>
      <c r="Q91" s="54">
        <v>12</v>
      </c>
      <c r="R91" t="s" s="55">
        <v>3833</v>
      </c>
      <c r="S91" s="56">
        <v>1.27</v>
      </c>
      <c r="T91" t="s" s="55">
        <v>3985</v>
      </c>
      <c r="U91" s="83"/>
      <c r="V91" t="s" s="52">
        <v>4038</v>
      </c>
      <c r="W91" t="s" s="76">
        <v>4039</v>
      </c>
      <c r="X91" s="71">
        <v>-1.04</v>
      </c>
      <c r="Y91" s="60">
        <v>-2.45</v>
      </c>
      <c r="Z91" s="60">
        <v>0.37</v>
      </c>
      <c r="AA91" s="61">
        <v>0.95</v>
      </c>
      <c r="AB91" s="58"/>
      <c r="AC91" s="66">
        <v>0.719387755102041</v>
      </c>
      <c r="AD91" s="84"/>
      <c r="AE91" s="84"/>
      <c r="AF91" t="s" s="52">
        <v>4040</v>
      </c>
      <c r="AG91" s="85"/>
      <c r="AH91" t="s" s="52">
        <v>45</v>
      </c>
      <c r="AI91" s="53"/>
    </row>
    <row r="92" ht="30" customHeight="1">
      <c r="A92" t="s" s="46">
        <v>1976</v>
      </c>
      <c r="B92" t="s" s="52">
        <v>3815</v>
      </c>
      <c r="C92" t="s" s="52">
        <v>4036</v>
      </c>
      <c r="D92" t="s" s="52">
        <v>3826</v>
      </c>
      <c r="E92" s="53"/>
      <c r="F92" t="s" s="52">
        <v>3931</v>
      </c>
      <c r="G92" t="s" s="52">
        <v>4037</v>
      </c>
      <c r="H92" t="s" s="52">
        <v>3815</v>
      </c>
      <c r="I92" s="54">
        <v>259</v>
      </c>
      <c r="J92" t="s" s="52">
        <v>3816</v>
      </c>
      <c r="K92" t="s" s="52">
        <v>3872</v>
      </c>
      <c r="L92" t="s" s="52">
        <v>4005</v>
      </c>
      <c r="M92" s="72"/>
      <c r="N92" t="s" s="55">
        <v>3814</v>
      </c>
      <c r="O92" t="s" s="52">
        <v>3947</v>
      </c>
      <c r="P92" t="s" s="52">
        <v>3821</v>
      </c>
      <c r="Q92" s="54">
        <v>12</v>
      </c>
      <c r="R92" t="s" s="55">
        <v>3833</v>
      </c>
      <c r="S92" s="56">
        <v>0.64</v>
      </c>
      <c r="T92" t="s" s="55">
        <v>3948</v>
      </c>
      <c r="U92" s="83"/>
      <c r="V92" t="s" s="52">
        <v>4038</v>
      </c>
      <c r="W92" t="s" s="76">
        <v>4041</v>
      </c>
      <c r="X92" s="71">
        <v>-0.89</v>
      </c>
      <c r="Y92" s="60">
        <v>-2.23</v>
      </c>
      <c r="Z92" s="60">
        <v>0.46</v>
      </c>
      <c r="AA92" s="61">
        <v>0.95</v>
      </c>
      <c r="AB92" s="58"/>
      <c r="AC92" s="66">
        <v>0.686224489795918</v>
      </c>
      <c r="AD92" s="84"/>
      <c r="AE92" s="84"/>
      <c r="AF92" t="s" s="52">
        <v>4040</v>
      </c>
      <c r="AG92" s="85"/>
      <c r="AH92" t="s" s="52">
        <v>45</v>
      </c>
      <c r="AI92" s="53"/>
    </row>
    <row r="93" ht="30" customHeight="1">
      <c r="A93" t="s" s="46">
        <v>1976</v>
      </c>
      <c r="B93" t="s" s="52">
        <v>3815</v>
      </c>
      <c r="C93" t="s" s="52">
        <v>4036</v>
      </c>
      <c r="D93" t="s" s="52">
        <v>3826</v>
      </c>
      <c r="E93" s="53"/>
      <c r="F93" t="s" s="52">
        <v>3931</v>
      </c>
      <c r="G93" t="s" s="52">
        <v>4037</v>
      </c>
      <c r="H93" t="s" s="52">
        <v>3815</v>
      </c>
      <c r="I93" s="54">
        <v>259</v>
      </c>
      <c r="J93" t="s" s="52">
        <v>3816</v>
      </c>
      <c r="K93" t="s" s="52">
        <v>3872</v>
      </c>
      <c r="L93" t="s" s="52">
        <v>4005</v>
      </c>
      <c r="M93" s="72"/>
      <c r="N93" t="s" s="55">
        <v>3814</v>
      </c>
      <c r="O93" t="s" s="52">
        <v>4042</v>
      </c>
      <c r="P93" t="s" s="52">
        <v>3821</v>
      </c>
      <c r="Q93" s="54">
        <v>12</v>
      </c>
      <c r="R93" t="s" s="55">
        <v>3833</v>
      </c>
      <c r="S93" s="56">
        <v>0.09</v>
      </c>
      <c r="T93" t="s" s="55">
        <v>3909</v>
      </c>
      <c r="U93" s="83"/>
      <c r="V93" t="s" s="52">
        <v>4038</v>
      </c>
      <c r="W93" t="s" s="76">
        <v>4043</v>
      </c>
      <c r="X93" s="71">
        <v>-0.8100000000000001</v>
      </c>
      <c r="Y93" s="60">
        <v>-2.16</v>
      </c>
      <c r="Z93" s="60">
        <v>0.54</v>
      </c>
      <c r="AA93" s="61">
        <v>0.95</v>
      </c>
      <c r="AB93" s="58"/>
      <c r="AC93" s="66">
        <v>0.688775510204082</v>
      </c>
      <c r="AD93" s="84"/>
      <c r="AE93" s="84"/>
      <c r="AF93" t="s" s="52">
        <v>4040</v>
      </c>
      <c r="AG93" s="85"/>
      <c r="AH93" t="s" s="52">
        <v>45</v>
      </c>
      <c r="AI93" s="53"/>
    </row>
    <row r="94" ht="30" customHeight="1">
      <c r="A94" t="s" s="46">
        <v>1976</v>
      </c>
      <c r="B94" t="s" s="52">
        <v>3815</v>
      </c>
      <c r="C94" t="s" s="52">
        <v>4036</v>
      </c>
      <c r="D94" t="s" s="52">
        <v>3826</v>
      </c>
      <c r="E94" s="53"/>
      <c r="F94" t="s" s="52">
        <v>3931</v>
      </c>
      <c r="G94" t="s" s="52">
        <v>4037</v>
      </c>
      <c r="H94" t="s" s="52">
        <v>3815</v>
      </c>
      <c r="I94" s="54">
        <v>259</v>
      </c>
      <c r="J94" t="s" s="52">
        <v>3816</v>
      </c>
      <c r="K94" t="s" s="52">
        <v>3872</v>
      </c>
      <c r="L94" t="s" s="52">
        <v>4005</v>
      </c>
      <c r="M94" s="72"/>
      <c r="N94" t="s" s="55">
        <v>3814</v>
      </c>
      <c r="O94" t="s" s="52">
        <v>4044</v>
      </c>
      <c r="P94" t="s" s="52">
        <v>3821</v>
      </c>
      <c r="Q94" s="54">
        <v>12</v>
      </c>
      <c r="R94" t="s" s="55">
        <v>3833</v>
      </c>
      <c r="S94" s="56">
        <v>0.12</v>
      </c>
      <c r="T94" t="s" s="55">
        <v>3909</v>
      </c>
      <c r="U94" s="83"/>
      <c r="V94" t="s" s="52">
        <v>4038</v>
      </c>
      <c r="W94" t="s" s="76">
        <v>4045</v>
      </c>
      <c r="X94" s="71">
        <v>-0.28</v>
      </c>
      <c r="Y94" s="60">
        <v>-1.63</v>
      </c>
      <c r="Z94" s="60">
        <v>1.1</v>
      </c>
      <c r="AA94" s="61">
        <v>0.95</v>
      </c>
      <c r="AB94" s="58"/>
      <c r="AC94" s="66">
        <v>0.696428571428571</v>
      </c>
      <c r="AD94" s="84"/>
      <c r="AE94" s="84"/>
      <c r="AF94" t="s" s="52">
        <v>4040</v>
      </c>
      <c r="AG94" s="85"/>
      <c r="AH94" t="s" s="52">
        <v>45</v>
      </c>
      <c r="AI94" s="53"/>
    </row>
    <row r="95" ht="30" customHeight="1">
      <c r="A95" t="s" s="46">
        <v>1976</v>
      </c>
      <c r="B95" t="s" s="52">
        <v>3815</v>
      </c>
      <c r="C95" t="s" s="52">
        <v>4036</v>
      </c>
      <c r="D95" t="s" s="52">
        <v>3826</v>
      </c>
      <c r="E95" s="53"/>
      <c r="F95" t="s" s="52">
        <v>3931</v>
      </c>
      <c r="G95" t="s" s="52">
        <v>4037</v>
      </c>
      <c r="H95" t="s" s="52">
        <v>3815</v>
      </c>
      <c r="I95" s="54">
        <v>259</v>
      </c>
      <c r="J95" t="s" s="52">
        <v>3816</v>
      </c>
      <c r="K95" t="s" s="52">
        <v>3872</v>
      </c>
      <c r="L95" t="s" s="52">
        <v>4005</v>
      </c>
      <c r="M95" s="72"/>
      <c r="N95" t="s" s="55">
        <v>3814</v>
      </c>
      <c r="O95" t="s" s="52">
        <v>4046</v>
      </c>
      <c r="P95" t="s" s="52">
        <v>3821</v>
      </c>
      <c r="Q95" s="54">
        <v>12</v>
      </c>
      <c r="R95" t="s" s="55">
        <v>3833</v>
      </c>
      <c r="S95" s="56">
        <v>0.5600000000000001</v>
      </c>
      <c r="T95" t="s" s="55">
        <v>3948</v>
      </c>
      <c r="U95" s="83"/>
      <c r="V95" t="s" s="52">
        <v>4038</v>
      </c>
      <c r="W95" t="s" s="76">
        <v>4047</v>
      </c>
      <c r="X95" s="71">
        <v>-0.65</v>
      </c>
      <c r="Y95" s="60">
        <v>-2</v>
      </c>
      <c r="Z95" s="60">
        <v>0.71</v>
      </c>
      <c r="AA95" s="61">
        <v>0.95</v>
      </c>
      <c r="AB95" s="58"/>
      <c r="AC95" s="66">
        <v>0.691326530612245</v>
      </c>
      <c r="AD95" s="84"/>
      <c r="AE95" s="84"/>
      <c r="AF95" t="s" s="52">
        <v>4040</v>
      </c>
      <c r="AG95" s="85"/>
      <c r="AH95" t="s" s="52">
        <v>45</v>
      </c>
      <c r="AI95" s="53"/>
    </row>
    <row r="96" ht="30" customHeight="1">
      <c r="A96" t="s" s="46">
        <v>2024</v>
      </c>
      <c r="B96" t="s" s="52">
        <v>3951</v>
      </c>
      <c r="C96" t="s" s="52">
        <v>3952</v>
      </c>
      <c r="D96" t="s" s="78">
        <v>3943</v>
      </c>
      <c r="E96" s="80"/>
      <c r="F96" t="s" s="52">
        <v>3931</v>
      </c>
      <c r="G96" t="s" s="78">
        <v>4048</v>
      </c>
      <c r="H96" t="s" s="52">
        <v>3815</v>
      </c>
      <c r="I96" s="54">
        <v>1331</v>
      </c>
      <c r="J96" t="s" s="52">
        <v>3816</v>
      </c>
      <c r="K96" t="s" s="52">
        <v>4010</v>
      </c>
      <c r="L96" s="54">
        <v>6</v>
      </c>
      <c r="M96" t="s" s="55">
        <v>3819</v>
      </c>
      <c r="N96" s="56">
        <v>104.19</v>
      </c>
      <c r="O96" t="s" s="52">
        <v>3820</v>
      </c>
      <c r="P96" t="s" s="52">
        <v>3821</v>
      </c>
      <c r="Q96" s="54">
        <v>6</v>
      </c>
      <c r="R96" t="s" s="55">
        <v>3819</v>
      </c>
      <c r="S96" s="56">
        <v>6.43</v>
      </c>
      <c r="T96" t="s" s="55">
        <v>3948</v>
      </c>
      <c r="U96" s="53"/>
      <c r="V96" t="s" s="68">
        <v>3857</v>
      </c>
      <c r="W96" s="58"/>
      <c r="X96" s="58"/>
      <c r="Y96" s="60"/>
      <c r="Z96" s="60"/>
      <c r="AA96" s="61"/>
      <c r="AB96" s="58"/>
      <c r="AC96" s="66"/>
      <c r="AD96" s="84"/>
      <c r="AE96" s="84"/>
      <c r="AF96" t="s" s="52">
        <v>3936</v>
      </c>
      <c r="AG96" s="85"/>
      <c r="AH96" t="s" s="52">
        <v>3937</v>
      </c>
      <c r="AI96" s="53"/>
    </row>
    <row r="97" ht="30" customHeight="1">
      <c r="A97" t="s" s="46">
        <v>2080</v>
      </c>
      <c r="B97" t="s" s="52">
        <v>4049</v>
      </c>
      <c r="C97" t="s" s="86">
        <v>4050</v>
      </c>
      <c r="D97" t="s" s="52">
        <v>3826</v>
      </c>
      <c r="E97" s="53"/>
      <c r="F97" t="s" s="52">
        <v>4051</v>
      </c>
      <c r="G97" s="53"/>
      <c r="H97" t="s" s="52">
        <v>4052</v>
      </c>
      <c r="I97" s="54">
        <v>299</v>
      </c>
      <c r="J97" t="s" s="52">
        <v>3816</v>
      </c>
      <c r="K97" t="s" s="52">
        <v>4053</v>
      </c>
      <c r="L97" t="s" s="52">
        <v>4054</v>
      </c>
      <c r="M97" t="s" s="55">
        <v>3819</v>
      </c>
      <c r="N97" s="56">
        <v>106.3</v>
      </c>
      <c r="O97" t="s" s="52">
        <v>3820</v>
      </c>
      <c r="P97" t="s" s="52">
        <v>3821</v>
      </c>
      <c r="Q97" s="53"/>
      <c r="R97" t="s" s="55">
        <v>3819</v>
      </c>
      <c r="S97" s="56">
        <v>1.71</v>
      </c>
      <c r="T97" t="s" s="55">
        <v>3985</v>
      </c>
      <c r="U97" t="s" s="52">
        <v>3834</v>
      </c>
      <c r="V97" t="s" s="52">
        <v>3835</v>
      </c>
      <c r="W97" s="71">
        <v>1</v>
      </c>
      <c r="X97" s="71">
        <v>-3.483</v>
      </c>
      <c r="Y97" s="60" cm="1">
        <f t="array" ref="Y97">X97-1.96*AC97</f>
        <v>-6.38576</v>
      </c>
      <c r="Z97" s="60" cm="1">
        <f t="array" ref="Z97">X97+1.96*AC97</f>
        <v>-0.58024</v>
      </c>
      <c r="AA97" s="61">
        <v>0.95</v>
      </c>
      <c r="AB97" s="71">
        <v>0.0194</v>
      </c>
      <c r="AC97" s="59">
        <v>1.481</v>
      </c>
      <c r="AD97" s="67" cm="1">
        <f t="array" ref="AD97">X97-1.96*AC97</f>
        <v>-6.38576</v>
      </c>
      <c r="AE97" s="67" cm="1">
        <f t="array" ref="AE97">X97+1.96*AC97</f>
        <v>-0.58024</v>
      </c>
      <c r="AF97" t="s" s="52">
        <v>4055</v>
      </c>
      <c r="AG97" s="63"/>
      <c r="AH97" s="53"/>
      <c r="AI97" t="s" s="52">
        <v>277</v>
      </c>
    </row>
    <row r="98" ht="45" customHeight="1">
      <c r="A98" t="s" s="46">
        <v>2083</v>
      </c>
      <c r="B98" t="s" s="52">
        <v>4056</v>
      </c>
      <c r="C98" t="s" s="52">
        <v>4057</v>
      </c>
      <c r="D98" t="s" s="52">
        <v>3826</v>
      </c>
      <c r="E98" t="s" s="52">
        <v>3930</v>
      </c>
      <c r="F98" t="s" s="52">
        <v>4058</v>
      </c>
      <c r="G98" s="53"/>
      <c r="H98" t="s" s="52">
        <v>3810</v>
      </c>
      <c r="I98" s="54">
        <v>299</v>
      </c>
      <c r="J98" t="s" s="52">
        <v>3816</v>
      </c>
      <c r="K98" t="s" s="52">
        <v>3934</v>
      </c>
      <c r="L98" s="53"/>
      <c r="M98" t="s" s="55">
        <v>3833</v>
      </c>
      <c r="N98" s="56">
        <v>106</v>
      </c>
      <c r="O98" t="s" s="52">
        <v>3820</v>
      </c>
      <c r="P98" t="s" s="52">
        <v>3821</v>
      </c>
      <c r="Q98" s="53"/>
      <c r="R98" t="s" s="55">
        <v>3833</v>
      </c>
      <c r="S98" s="56">
        <v>8.4</v>
      </c>
      <c r="T98" t="s" s="55">
        <v>4059</v>
      </c>
      <c r="U98" t="s" s="52">
        <v>4060</v>
      </c>
      <c r="V98" t="s" s="52">
        <v>3835</v>
      </c>
      <c r="W98" s="71">
        <v>1</v>
      </c>
      <c r="X98" s="71">
        <v>-1.1</v>
      </c>
      <c r="Y98" s="60">
        <v>-2.7</v>
      </c>
      <c r="Z98" s="60">
        <v>0.6</v>
      </c>
      <c r="AA98" s="61">
        <v>0.95</v>
      </c>
      <c r="AB98" s="58"/>
      <c r="AC98" s="66" cm="1">
        <f t="array" ref="AC98">(Z98-Y98)/(3.92)</f>
        <v>0.841836734693878</v>
      </c>
      <c r="AD98" s="67" cm="1">
        <f t="array" ref="AD98">X98-1.96*AC98</f>
        <v>-2.75</v>
      </c>
      <c r="AE98" s="67" cm="1">
        <f t="array" ref="AE98">X98+1.96*AC98</f>
        <v>0.550000000000001</v>
      </c>
      <c r="AF98" t="s" s="52">
        <v>4061</v>
      </c>
      <c r="AG98" s="63"/>
      <c r="AH98" s="53"/>
      <c r="AI98" t="s" s="52">
        <v>277</v>
      </c>
    </row>
    <row r="99" ht="45" customHeight="1">
      <c r="A99" t="s" s="46">
        <v>2277</v>
      </c>
      <c r="B99" t="s" s="52">
        <v>4062</v>
      </c>
      <c r="C99" t="s" s="52">
        <v>4063</v>
      </c>
      <c r="D99" t="s" s="52">
        <v>4002</v>
      </c>
      <c r="E99" t="s" s="52">
        <v>3930</v>
      </c>
      <c r="F99" t="s" s="52">
        <v>4064</v>
      </c>
      <c r="G99" s="53"/>
      <c r="H99" t="s" s="52">
        <v>3815</v>
      </c>
      <c r="I99" s="54">
        <v>155</v>
      </c>
      <c r="J99" t="s" s="52">
        <v>3868</v>
      </c>
      <c r="K99" t="s" s="52">
        <v>4065</v>
      </c>
      <c r="L99" t="s" s="52">
        <v>4066</v>
      </c>
      <c r="M99" t="s" s="55">
        <v>3819</v>
      </c>
      <c r="N99" s="56">
        <v>75.5</v>
      </c>
      <c r="O99" t="s" s="52">
        <v>3820</v>
      </c>
      <c r="P99" t="s" s="52">
        <v>3821</v>
      </c>
      <c r="Q99" s="53"/>
      <c r="R99" t="s" s="55">
        <v>3819</v>
      </c>
      <c r="S99" s="56">
        <v>1.64</v>
      </c>
      <c r="T99" t="s" s="55">
        <v>3985</v>
      </c>
      <c r="U99" t="s" s="52">
        <v>3910</v>
      </c>
      <c r="V99" t="s" s="52">
        <v>3835</v>
      </c>
      <c r="W99" s="71">
        <v>1</v>
      </c>
      <c r="X99" s="71">
        <v>-8.609</v>
      </c>
      <c r="Y99" s="60" cm="1">
        <f t="array" ref="Y99">X99-1.96*AC99</f>
        <v>-14.4204</v>
      </c>
      <c r="Z99" s="60" cm="1">
        <f t="array" ref="Z99">X99+1.96*AC99</f>
        <v>-2.7976</v>
      </c>
      <c r="AA99" s="61">
        <v>0.95</v>
      </c>
      <c r="AB99" s="71">
        <v>0.004</v>
      </c>
      <c r="AC99" s="59">
        <v>2.965</v>
      </c>
      <c r="AD99" s="67" cm="1">
        <f t="array" ref="AD99">X99-1.96*AC99</f>
        <v>-14.4204</v>
      </c>
      <c r="AE99" s="67" cm="1">
        <f t="array" ref="AE99">X99+1.96*AC99</f>
        <v>-2.7976</v>
      </c>
      <c r="AF99" t="s" s="52">
        <v>4067</v>
      </c>
      <c r="AG99" s="63"/>
      <c r="AH99" s="53"/>
      <c r="AI99" t="s" s="52">
        <v>277</v>
      </c>
    </row>
    <row r="100" ht="45" customHeight="1">
      <c r="A100" t="s" s="46">
        <v>2277</v>
      </c>
      <c r="B100" t="s" s="52">
        <v>4062</v>
      </c>
      <c r="C100" t="s" s="52">
        <v>4068</v>
      </c>
      <c r="D100" t="s" s="52">
        <v>4002</v>
      </c>
      <c r="E100" t="s" s="52">
        <v>3930</v>
      </c>
      <c r="F100" t="s" s="52">
        <v>4064</v>
      </c>
      <c r="G100" s="53"/>
      <c r="H100" t="s" s="52">
        <v>3815</v>
      </c>
      <c r="I100" s="54">
        <v>186</v>
      </c>
      <c r="J100" t="s" s="52">
        <v>3868</v>
      </c>
      <c r="K100" t="s" s="52">
        <v>4065</v>
      </c>
      <c r="L100" t="s" s="52">
        <v>4066</v>
      </c>
      <c r="M100" t="s" s="55">
        <v>3819</v>
      </c>
      <c r="N100" s="56">
        <v>75.5</v>
      </c>
      <c r="O100" t="s" s="52">
        <v>3820</v>
      </c>
      <c r="P100" t="s" s="52">
        <v>3821</v>
      </c>
      <c r="Q100" s="53"/>
      <c r="R100" t="s" s="55">
        <v>3819</v>
      </c>
      <c r="S100" s="56">
        <v>1.64</v>
      </c>
      <c r="T100" t="s" s="55">
        <v>3985</v>
      </c>
      <c r="U100" t="s" s="52">
        <v>3910</v>
      </c>
      <c r="V100" t="s" s="52">
        <v>3835</v>
      </c>
      <c r="W100" s="71">
        <v>1</v>
      </c>
      <c r="X100" s="71">
        <v>-9.914999999999999</v>
      </c>
      <c r="Y100" s="60" cm="1">
        <f t="array" ref="Y100">X100-1.96*AC100</f>
        <v>-15.87536</v>
      </c>
      <c r="Z100" s="60" cm="1">
        <f t="array" ref="Z100">X100+1.96*AC100</f>
        <v>-3.95464</v>
      </c>
      <c r="AA100" s="61">
        <v>0.95</v>
      </c>
      <c r="AB100" s="71">
        <v>0.001</v>
      </c>
      <c r="AC100" s="59">
        <v>3.041</v>
      </c>
      <c r="AD100" s="67" cm="1">
        <f t="array" ref="AD100">X100-1.96*AC100</f>
        <v>-15.87536</v>
      </c>
      <c r="AE100" s="67" cm="1">
        <f t="array" ref="AE100">X100+1.96*AC100</f>
        <v>-3.95464</v>
      </c>
      <c r="AF100" t="s" s="52">
        <v>4069</v>
      </c>
      <c r="AG100" s="63"/>
      <c r="AH100" t="s" s="52">
        <v>3972</v>
      </c>
      <c r="AI100" s="53"/>
    </row>
    <row r="101" ht="105" customHeight="1">
      <c r="A101" t="s" s="46">
        <v>2314</v>
      </c>
      <c r="B101" t="s" s="52">
        <v>4070</v>
      </c>
      <c r="C101" t="s" s="52">
        <v>4071</v>
      </c>
      <c r="D101" t="s" s="52">
        <v>3864</v>
      </c>
      <c r="E101" s="53"/>
      <c r="F101" t="s" s="52">
        <v>4072</v>
      </c>
      <c r="G101" t="s" s="52">
        <v>4073</v>
      </c>
      <c r="H101" t="s" s="52">
        <v>3815</v>
      </c>
      <c r="I101" s="54">
        <v>278</v>
      </c>
      <c r="J101" t="s" s="52">
        <v>3816</v>
      </c>
      <c r="K101" t="s" s="52">
        <v>4010</v>
      </c>
      <c r="L101" s="54">
        <v>4</v>
      </c>
      <c r="M101" t="s" s="55">
        <v>3819</v>
      </c>
      <c r="N101" s="56">
        <v>81</v>
      </c>
      <c r="O101" t="s" s="52">
        <v>3820</v>
      </c>
      <c r="P101" t="s" s="52">
        <v>3821</v>
      </c>
      <c r="Q101" s="54">
        <v>4</v>
      </c>
      <c r="R101" t="s" s="55">
        <v>3819</v>
      </c>
      <c r="S101" s="56">
        <v>7</v>
      </c>
      <c r="T101" t="s" s="55">
        <v>3985</v>
      </c>
      <c r="U101" t="s" s="52">
        <v>3850</v>
      </c>
      <c r="V101" t="s" s="52">
        <v>3835</v>
      </c>
      <c r="W101" s="71">
        <v>1</v>
      </c>
      <c r="X101" s="71">
        <v>-0.5</v>
      </c>
      <c r="Y101" s="60" cm="1">
        <f t="array" ref="Y101">X101-1.96*AC101</f>
        <v>-0.892</v>
      </c>
      <c r="Z101" s="60" cm="1">
        <f t="array" ref="Z101">X101+1.96*AC101</f>
        <v>-0.108</v>
      </c>
      <c r="AA101" s="61">
        <v>0.95</v>
      </c>
      <c r="AB101" t="s" s="65">
        <v>4074</v>
      </c>
      <c r="AC101" s="59">
        <v>0.2</v>
      </c>
      <c r="AD101" s="67" cm="1">
        <f t="array" ref="AD101">X101-1.96*AC101</f>
        <v>-0.892</v>
      </c>
      <c r="AE101" s="67" cm="1">
        <f t="array" ref="AE101">X101+1.96*AC101</f>
        <v>-0.108</v>
      </c>
      <c r="AF101" t="s" s="52">
        <v>4075</v>
      </c>
      <c r="AG101" s="63"/>
      <c r="AH101" t="s" s="52">
        <v>3871</v>
      </c>
      <c r="AI101" s="53"/>
    </row>
    <row r="102" ht="60" customHeight="1">
      <c r="A102" t="s" s="46">
        <v>2314</v>
      </c>
      <c r="B102" t="s" s="52">
        <v>4070</v>
      </c>
      <c r="C102" t="s" s="52">
        <v>4071</v>
      </c>
      <c r="D102" t="s" s="52">
        <v>3864</v>
      </c>
      <c r="E102" s="53"/>
      <c r="F102" t="s" s="52">
        <v>4072</v>
      </c>
      <c r="G102" t="s" s="52">
        <v>4073</v>
      </c>
      <c r="H102" t="s" s="52">
        <v>3815</v>
      </c>
      <c r="I102" s="54">
        <v>273</v>
      </c>
      <c r="J102" t="s" s="52">
        <v>3816</v>
      </c>
      <c r="K102" t="s" s="52">
        <v>3934</v>
      </c>
      <c r="L102" s="54">
        <v>9</v>
      </c>
      <c r="M102" t="s" s="55">
        <v>3819</v>
      </c>
      <c r="N102" s="56">
        <v>86</v>
      </c>
      <c r="O102" t="s" s="52">
        <v>3820</v>
      </c>
      <c r="P102" t="s" s="52">
        <v>3877</v>
      </c>
      <c r="Q102" s="54">
        <v>4</v>
      </c>
      <c r="R102" t="s" s="55">
        <v>3819</v>
      </c>
      <c r="S102" s="56">
        <v>7</v>
      </c>
      <c r="T102" t="s" s="55">
        <v>3985</v>
      </c>
      <c r="U102" t="s" s="52">
        <v>3850</v>
      </c>
      <c r="V102" t="s" s="52">
        <v>3835</v>
      </c>
      <c r="W102" s="71">
        <v>1</v>
      </c>
      <c r="X102" s="71">
        <v>-0.41</v>
      </c>
      <c r="Y102" s="60" cm="1">
        <f t="array" ref="Y102">X102-1.96*AC102</f>
        <v>-0.7824</v>
      </c>
      <c r="Z102" s="60" cm="1">
        <f t="array" ref="Z102">X102+1.96*AC102</f>
        <v>-0.0376</v>
      </c>
      <c r="AA102" s="61">
        <v>0.95</v>
      </c>
      <c r="AB102" t="s" s="65">
        <v>4074</v>
      </c>
      <c r="AC102" s="59">
        <v>0.19</v>
      </c>
      <c r="AD102" s="67" cm="1">
        <f t="array" ref="AD102">X102-1.96*AC102</f>
        <v>-0.7824</v>
      </c>
      <c r="AE102" s="67" cm="1">
        <f t="array" ref="AE102">X102+1.96*AC102</f>
        <v>-0.0376</v>
      </c>
      <c r="AF102" t="s" s="52">
        <v>4076</v>
      </c>
      <c r="AG102" s="63"/>
      <c r="AH102" t="s" s="52">
        <v>4077</v>
      </c>
      <c r="AI102" s="53"/>
    </row>
    <row r="103" ht="60" customHeight="1">
      <c r="A103" t="s" s="46">
        <v>2314</v>
      </c>
      <c r="B103" t="s" s="52">
        <v>4070</v>
      </c>
      <c r="C103" t="s" s="52">
        <v>4071</v>
      </c>
      <c r="D103" t="s" s="52">
        <v>3864</v>
      </c>
      <c r="E103" s="53"/>
      <c r="F103" t="s" s="52">
        <v>4072</v>
      </c>
      <c r="G103" t="s" s="52">
        <v>4073</v>
      </c>
      <c r="H103" t="s" s="52">
        <v>3815</v>
      </c>
      <c r="I103" s="54">
        <v>267</v>
      </c>
      <c r="J103" t="s" s="52">
        <v>3816</v>
      </c>
      <c r="K103" t="s" s="52">
        <v>3934</v>
      </c>
      <c r="L103" s="54">
        <v>11</v>
      </c>
      <c r="M103" t="s" s="55">
        <v>3819</v>
      </c>
      <c r="N103" s="56">
        <v>86</v>
      </c>
      <c r="O103" t="s" s="52">
        <v>3820</v>
      </c>
      <c r="P103" t="s" s="52">
        <v>3877</v>
      </c>
      <c r="Q103" s="54">
        <v>4</v>
      </c>
      <c r="R103" t="s" s="55">
        <v>3819</v>
      </c>
      <c r="S103" s="56">
        <v>7</v>
      </c>
      <c r="T103" t="s" s="55">
        <v>3985</v>
      </c>
      <c r="U103" t="s" s="52">
        <v>3850</v>
      </c>
      <c r="V103" t="s" s="52">
        <v>3835</v>
      </c>
      <c r="W103" s="71">
        <v>1</v>
      </c>
      <c r="X103" s="71">
        <v>-0.54</v>
      </c>
      <c r="Y103" s="60" cm="1">
        <f t="array" ref="Y103">X103-1.96*AC103</f>
        <v>-0.9124</v>
      </c>
      <c r="Z103" s="60" cm="1">
        <f t="array" ref="Z103">X103+1.96*AC103</f>
        <v>-0.1676</v>
      </c>
      <c r="AA103" s="61">
        <v>0.95</v>
      </c>
      <c r="AB103" t="s" s="65">
        <v>3939</v>
      </c>
      <c r="AC103" s="59">
        <v>0.19</v>
      </c>
      <c r="AD103" s="67" cm="1">
        <f t="array" ref="AD103">X103-1.96*AC103</f>
        <v>-0.9124</v>
      </c>
      <c r="AE103" s="67" cm="1">
        <f t="array" ref="AE103">X103+1.96*AC103</f>
        <v>-0.1676</v>
      </c>
      <c r="AF103" t="s" s="52">
        <v>4078</v>
      </c>
      <c r="AG103" s="63"/>
      <c r="AH103" t="s" s="52">
        <v>4077</v>
      </c>
      <c r="AI103" s="53"/>
    </row>
    <row r="104" ht="75" customHeight="1">
      <c r="A104" t="s" s="46">
        <v>2937</v>
      </c>
      <c r="B104" t="s" s="68">
        <v>4079</v>
      </c>
      <c r="C104" t="s" s="52">
        <v>4080</v>
      </c>
      <c r="D104" t="s" s="52">
        <v>3943</v>
      </c>
      <c r="E104" s="53"/>
      <c r="F104" t="s" s="52">
        <v>4015</v>
      </c>
      <c r="G104" s="53"/>
      <c r="H104" t="s" s="52">
        <v>3815</v>
      </c>
      <c r="I104" s="54">
        <v>717</v>
      </c>
      <c r="J104" t="s" s="52">
        <v>3816</v>
      </c>
      <c r="K104" t="s" s="52">
        <v>4081</v>
      </c>
      <c r="L104" t="s" s="52">
        <v>4082</v>
      </c>
      <c r="M104" t="s" s="55">
        <v>3819</v>
      </c>
      <c r="N104" s="56">
        <v>106.62</v>
      </c>
      <c r="O104" t="s" s="52">
        <v>3820</v>
      </c>
      <c r="P104" t="s" s="52">
        <v>3821</v>
      </c>
      <c r="Q104" s="53"/>
      <c r="R104" t="s" s="55">
        <v>3819</v>
      </c>
      <c r="S104" s="56">
        <v>11.66</v>
      </c>
      <c r="T104" t="s" s="55">
        <v>3985</v>
      </c>
      <c r="U104" t="s" s="52">
        <v>3991</v>
      </c>
      <c r="V104" t="s" s="52">
        <v>3835</v>
      </c>
      <c r="W104" s="71">
        <v>1</v>
      </c>
      <c r="X104" s="71">
        <v>-4.22</v>
      </c>
      <c r="Y104" s="60">
        <v>-7.1</v>
      </c>
      <c r="Z104" s="60">
        <v>-1.36</v>
      </c>
      <c r="AA104" s="61">
        <v>0.95</v>
      </c>
      <c r="AB104" s="71">
        <v>0.004</v>
      </c>
      <c r="AC104" s="66">
        <v>1.46428571428571</v>
      </c>
      <c r="AD104" s="67" cm="1">
        <f t="array" ref="AD104">X104-1.96*AC104</f>
        <v>-7.08999999999999</v>
      </c>
      <c r="AE104" s="67" cm="1">
        <f t="array" ref="AE104">X104+1.96*AC104</f>
        <v>-1.35000000000001</v>
      </c>
      <c r="AF104" t="s" s="52">
        <v>4083</v>
      </c>
      <c r="AG104" s="63"/>
      <c r="AH104" t="s" s="52">
        <v>4084</v>
      </c>
      <c r="AI104" s="53"/>
    </row>
    <row r="105" ht="60" customHeight="1">
      <c r="A105" t="s" s="46">
        <v>2941</v>
      </c>
      <c r="B105" t="s" s="52">
        <v>4079</v>
      </c>
      <c r="C105" t="s" s="52">
        <v>4080</v>
      </c>
      <c r="D105" t="s" s="52">
        <v>3943</v>
      </c>
      <c r="E105" s="53"/>
      <c r="F105" t="s" s="52">
        <v>4015</v>
      </c>
      <c r="G105" s="53"/>
      <c r="H105" t="s" s="52">
        <v>3815</v>
      </c>
      <c r="I105" s="54">
        <v>708</v>
      </c>
      <c r="J105" t="s" s="52">
        <v>3816</v>
      </c>
      <c r="K105" t="s" s="52">
        <v>4081</v>
      </c>
      <c r="L105" t="s" s="52">
        <v>4082</v>
      </c>
      <c r="M105" t="s" s="55">
        <v>3819</v>
      </c>
      <c r="N105" s="73" cm="1">
        <f t="array" ref="N105">106.5*466/(466+242)+107.7*242/(466+242)</f>
        <v>106.910169491525</v>
      </c>
      <c r="O105" t="s" s="52">
        <v>3820</v>
      </c>
      <c r="P105" t="s" s="52">
        <v>3821</v>
      </c>
      <c r="Q105" s="53"/>
      <c r="R105" t="s" s="55">
        <v>3819</v>
      </c>
      <c r="S105" s="56">
        <v>11.5</v>
      </c>
      <c r="T105" t="s" s="55">
        <v>3985</v>
      </c>
      <c r="U105" t="s" s="52">
        <v>3991</v>
      </c>
      <c r="V105" t="s" s="52">
        <v>3835</v>
      </c>
      <c r="W105" s="71">
        <v>1</v>
      </c>
      <c r="X105" s="71">
        <v>-4.7</v>
      </c>
      <c r="Y105" s="60">
        <v>-7.9</v>
      </c>
      <c r="Z105" s="60">
        <v>-1.4</v>
      </c>
      <c r="AA105" s="61">
        <v>0.95</v>
      </c>
      <c r="AB105" s="71">
        <v>0.005</v>
      </c>
      <c r="AC105" s="66" cm="1">
        <f t="array" ref="AC105">(Z105-Y105)/(3.92)</f>
        <v>1.65816326530612</v>
      </c>
      <c r="AD105" s="67" cm="1">
        <f t="array" ref="AD105">X105-1.96*AC105</f>
        <v>-7.95</v>
      </c>
      <c r="AE105" s="67" cm="1">
        <f t="array" ref="AE105">X105+1.96*AC105</f>
        <v>-1.45</v>
      </c>
      <c r="AF105" t="s" s="52">
        <v>4085</v>
      </c>
      <c r="AG105" s="63"/>
      <c r="AH105" s="53"/>
      <c r="AI105" t="s" s="52">
        <v>277</v>
      </c>
    </row>
    <row r="106" ht="30" customHeight="1">
      <c r="A106" t="s" s="46">
        <v>3037</v>
      </c>
      <c r="B106" t="s" s="52">
        <v>3815</v>
      </c>
      <c r="C106" t="s" s="52">
        <v>4086</v>
      </c>
      <c r="D106" t="s" s="52">
        <v>4002</v>
      </c>
      <c r="E106" s="53"/>
      <c r="F106" t="s" s="52">
        <v>4087</v>
      </c>
      <c r="G106" t="s" s="52">
        <v>4088</v>
      </c>
      <c r="H106" s="53"/>
      <c r="I106" s="54">
        <v>112</v>
      </c>
      <c r="J106" t="s" s="52">
        <v>3816</v>
      </c>
      <c r="K106" t="s" s="52">
        <v>3955</v>
      </c>
      <c r="L106" t="s" s="52">
        <v>4089</v>
      </c>
      <c r="M106" t="s" s="55">
        <v>3819</v>
      </c>
      <c r="N106" s="75" cm="1">
        <f t="array" ref="N106">105*140/(140+140+127+120+115)+109*140/(140+140+127+120+115)+108*127/(140+140+127+120+115)+109*120/(140+140+127+120+115)+109*115/(140+140+127+120+115)</f>
        <v>107.929906542056</v>
      </c>
      <c r="O106" t="s" s="52">
        <v>3820</v>
      </c>
      <c r="P106" t="s" s="52">
        <v>3922</v>
      </c>
      <c r="Q106" t="s" s="52">
        <v>4090</v>
      </c>
      <c r="R106" s="72"/>
      <c r="S106" t="s" s="55">
        <v>3814</v>
      </c>
      <c r="T106" s="72"/>
      <c r="U106" t="s" s="52">
        <v>4091</v>
      </c>
      <c r="V106" t="s" s="52">
        <v>3835</v>
      </c>
      <c r="W106" s="71">
        <v>1</v>
      </c>
      <c r="X106" s="71">
        <v>-1.29</v>
      </c>
      <c r="Y106" s="60">
        <v>-4.41</v>
      </c>
      <c r="Z106" s="60">
        <v>1.83</v>
      </c>
      <c r="AA106" s="61">
        <v>0.95</v>
      </c>
      <c r="AB106" s="71">
        <v>0.41</v>
      </c>
      <c r="AC106" s="66">
        <v>1.59183673469388</v>
      </c>
      <c r="AD106" s="67"/>
      <c r="AE106" s="67"/>
      <c r="AF106" t="s" s="52">
        <v>4092</v>
      </c>
      <c r="AG106" s="63"/>
      <c r="AH106" t="s" s="52">
        <v>3899</v>
      </c>
      <c r="AI106" s="53"/>
    </row>
    <row r="107" ht="30" customHeight="1">
      <c r="A107" t="s" s="46">
        <v>3037</v>
      </c>
      <c r="B107" t="s" s="52">
        <v>3815</v>
      </c>
      <c r="C107" t="s" s="52">
        <v>4086</v>
      </c>
      <c r="D107" t="s" s="52">
        <v>4002</v>
      </c>
      <c r="E107" s="53"/>
      <c r="F107" t="s" s="52">
        <v>4087</v>
      </c>
      <c r="G107" t="s" s="52">
        <v>4088</v>
      </c>
      <c r="H107" s="53"/>
      <c r="I107" s="54">
        <v>109</v>
      </c>
      <c r="J107" t="s" s="52">
        <v>3816</v>
      </c>
      <c r="K107" t="s" s="52">
        <v>3955</v>
      </c>
      <c r="L107" t="s" s="52">
        <v>4089</v>
      </c>
      <c r="M107" t="s" s="55">
        <v>3819</v>
      </c>
      <c r="N107" s="75" cm="1">
        <f t="array" ref="N107">105*140/(140+140+127+120+115)+109*140/(140+140+127+120+115)+108*127/(140+140+127+120+115)+109*120/(140+140+127+120+115)+109*115/(140+140+127+120+115)</f>
        <v>107.929906542056</v>
      </c>
      <c r="O107" t="s" s="52">
        <v>3820</v>
      </c>
      <c r="P107" t="s" s="52">
        <v>3922</v>
      </c>
      <c r="Q107" t="s" s="52">
        <v>4093</v>
      </c>
      <c r="R107" s="72"/>
      <c r="S107" t="s" s="55">
        <v>3814</v>
      </c>
      <c r="T107" s="72"/>
      <c r="U107" t="s" s="52">
        <v>4091</v>
      </c>
      <c r="V107" t="s" s="52">
        <v>3835</v>
      </c>
      <c r="W107" s="71">
        <v>1</v>
      </c>
      <c r="X107" s="71">
        <v>-0.95</v>
      </c>
      <c r="Y107" s="60">
        <v>-3.65</v>
      </c>
      <c r="Z107" s="60">
        <v>1.75</v>
      </c>
      <c r="AA107" s="61">
        <v>0.95</v>
      </c>
      <c r="AB107" s="71">
        <v>0.49</v>
      </c>
      <c r="AC107" s="66">
        <v>1.37755102040816</v>
      </c>
      <c r="AD107" s="67"/>
      <c r="AE107" s="67"/>
      <c r="AF107" t="s" s="52">
        <v>4092</v>
      </c>
      <c r="AG107" s="63"/>
      <c r="AH107" t="s" s="52">
        <v>3899</v>
      </c>
      <c r="AI107" s="53"/>
    </row>
    <row r="108" ht="30" customHeight="1">
      <c r="A108" t="s" s="46">
        <v>3037</v>
      </c>
      <c r="B108" t="s" s="52">
        <v>3815</v>
      </c>
      <c r="C108" t="s" s="52">
        <v>4086</v>
      </c>
      <c r="D108" t="s" s="52">
        <v>4002</v>
      </c>
      <c r="E108" s="53"/>
      <c r="F108" t="s" s="52">
        <v>4087</v>
      </c>
      <c r="G108" t="s" s="52">
        <v>4088</v>
      </c>
      <c r="H108" s="53"/>
      <c r="I108" s="54">
        <v>150</v>
      </c>
      <c r="J108" t="s" s="52">
        <v>3816</v>
      </c>
      <c r="K108" t="s" s="52">
        <v>3955</v>
      </c>
      <c r="L108" t="s" s="52">
        <v>4089</v>
      </c>
      <c r="M108" t="s" s="55">
        <v>3819</v>
      </c>
      <c r="N108" s="75" cm="1">
        <f t="array" ref="N108">105*140/(140+140+127+120+115)+109*140/(140+140+127+120+115)+108*127/(140+140+127+120+115)+109*120/(140+140+127+120+115)+109*115/(140+140+127+120+115)</f>
        <v>107.929906542056</v>
      </c>
      <c r="O108" t="s" s="52">
        <v>3820</v>
      </c>
      <c r="P108" t="s" s="52">
        <v>4094</v>
      </c>
      <c r="Q108" t="s" s="52">
        <v>4095</v>
      </c>
      <c r="R108" t="s" s="55">
        <v>3819</v>
      </c>
      <c r="S108" s="56">
        <v>8.199999999999999</v>
      </c>
      <c r="T108" t="s" s="55">
        <v>3985</v>
      </c>
      <c r="U108" t="s" s="52">
        <v>4091</v>
      </c>
      <c r="V108" t="s" s="52">
        <v>3835</v>
      </c>
      <c r="W108" s="71">
        <v>1</v>
      </c>
      <c r="X108" s="71">
        <v>-1.45</v>
      </c>
      <c r="Y108" s="60">
        <v>-4.75</v>
      </c>
      <c r="Z108" s="60">
        <v>2</v>
      </c>
      <c r="AA108" s="61">
        <v>0.95</v>
      </c>
      <c r="AB108" s="71">
        <v>0.42</v>
      </c>
      <c r="AC108" s="66" cm="1">
        <f t="array" ref="AC108">(Z108-Y108)/(3.92)</f>
        <v>1.7219387755102</v>
      </c>
      <c r="AD108" s="67" cm="1">
        <f t="array" ref="AD108">X108-1.96*AC108</f>
        <v>-4.82499999999999</v>
      </c>
      <c r="AE108" s="67" cm="1">
        <f t="array" ref="AE108">X108+1.96*AC108</f>
        <v>1.92499999999999</v>
      </c>
      <c r="AF108" t="s" s="52">
        <v>4092</v>
      </c>
      <c r="AG108" s="63"/>
      <c r="AH108" t="s" s="52">
        <v>3899</v>
      </c>
      <c r="AI108" s="53"/>
    </row>
    <row r="109" ht="30" customHeight="1">
      <c r="A109" t="s" s="46">
        <v>3037</v>
      </c>
      <c r="B109" t="s" s="52">
        <v>3815</v>
      </c>
      <c r="C109" t="s" s="52">
        <v>4086</v>
      </c>
      <c r="D109" t="s" s="52">
        <v>4002</v>
      </c>
      <c r="E109" s="53"/>
      <c r="F109" t="s" s="52">
        <v>4087</v>
      </c>
      <c r="G109" t="s" s="52">
        <v>4088</v>
      </c>
      <c r="H109" s="53"/>
      <c r="I109" s="54">
        <v>150</v>
      </c>
      <c r="J109" t="s" s="52">
        <v>3816</v>
      </c>
      <c r="K109" t="s" s="52">
        <v>3955</v>
      </c>
      <c r="L109" t="s" s="52">
        <v>4089</v>
      </c>
      <c r="M109" t="s" s="55">
        <v>3819</v>
      </c>
      <c r="N109" s="75" cm="1">
        <f t="array" ref="N109">105*140/(140+140+127+120+115)+109*140/(140+140+127+120+115)+108*127/(140+140+127+120+115)+109*120/(140+140+127+120+115)+109*115/(140+140+127+120+115)</f>
        <v>107.929906542056</v>
      </c>
      <c r="O109" t="s" s="52">
        <v>3820</v>
      </c>
      <c r="P109" t="s" s="52">
        <v>4094</v>
      </c>
      <c r="Q109" t="s" s="52">
        <v>4096</v>
      </c>
      <c r="R109" t="s" s="55">
        <v>3819</v>
      </c>
      <c r="S109" s="56">
        <v>7.8</v>
      </c>
      <c r="T109" t="s" s="55">
        <v>3985</v>
      </c>
      <c r="U109" t="s" s="52">
        <v>4091</v>
      </c>
      <c r="V109" t="s" s="52">
        <v>3835</v>
      </c>
      <c r="W109" s="71">
        <v>1</v>
      </c>
      <c r="X109" s="71">
        <v>-4</v>
      </c>
      <c r="Y109" s="60">
        <v>-6.37</v>
      </c>
      <c r="Z109" s="60">
        <v>-1.65</v>
      </c>
      <c r="AA109" s="61">
        <v>0.95</v>
      </c>
      <c r="AB109" s="71">
        <v>0.001</v>
      </c>
      <c r="AC109" s="66" cm="1">
        <f t="array" ref="AC109">(Z109-Y109)/(3.92)</f>
        <v>1.20408163265306</v>
      </c>
      <c r="AD109" s="67" cm="1">
        <f t="array" ref="AD109">X109-1.96*AC109</f>
        <v>-6.36</v>
      </c>
      <c r="AE109" s="67" cm="1">
        <f t="array" ref="AE109">X109+1.96*AC109</f>
        <v>-1.64</v>
      </c>
      <c r="AF109" t="s" s="52">
        <v>4092</v>
      </c>
      <c r="AG109" s="63"/>
      <c r="AH109" t="s" s="52">
        <v>3899</v>
      </c>
      <c r="AI109" s="53"/>
    </row>
    <row r="110" ht="30" customHeight="1">
      <c r="A110" t="s" s="46">
        <v>3037</v>
      </c>
      <c r="B110" t="s" s="52">
        <v>3815</v>
      </c>
      <c r="C110" t="s" s="52">
        <v>4086</v>
      </c>
      <c r="D110" t="s" s="52">
        <v>4002</v>
      </c>
      <c r="E110" s="53"/>
      <c r="F110" t="s" s="52">
        <v>4087</v>
      </c>
      <c r="G110" t="s" s="52">
        <v>4088</v>
      </c>
      <c r="H110" s="53"/>
      <c r="I110" s="54">
        <v>150</v>
      </c>
      <c r="J110" t="s" s="52">
        <v>3816</v>
      </c>
      <c r="K110" t="s" s="52">
        <v>3955</v>
      </c>
      <c r="L110" t="s" s="52">
        <v>4089</v>
      </c>
      <c r="M110" t="s" s="55">
        <v>3819</v>
      </c>
      <c r="N110" s="75" cm="1">
        <f t="array" ref="N110">105*140/(140+140+127+120+115)+109*140/(140+140+127+120+115)+108*127/(140+140+127+120+115)+109*120/(140+140+127+120+115)+109*115/(140+140+127+120+115)</f>
        <v>107.929906542056</v>
      </c>
      <c r="O110" t="s" s="52">
        <v>3820</v>
      </c>
      <c r="P110" t="s" s="52">
        <v>3879</v>
      </c>
      <c r="Q110" t="s" s="52">
        <v>4097</v>
      </c>
      <c r="R110" t="s" s="55">
        <v>3819</v>
      </c>
      <c r="S110" s="73" cm="1">
        <f t="array" ref="S110">10.8*142/(142+142+140+142+136)+12.8*142/(142+142+140+142+136)+11.3*140/(142+142+140+142+136)+10.3*142/(142+142+140+142+136)+9.3*136/(142+142+140+142+136)</f>
        <v>10.9125356125356</v>
      </c>
      <c r="T110" t="s" s="55">
        <v>3985</v>
      </c>
      <c r="U110" t="s" s="52">
        <v>4091</v>
      </c>
      <c r="V110" t="s" s="52">
        <v>3835</v>
      </c>
      <c r="W110" s="71">
        <v>1</v>
      </c>
      <c r="X110" s="71">
        <v>0.49</v>
      </c>
      <c r="Y110" s="60">
        <v>-3.81</v>
      </c>
      <c r="Z110" s="60">
        <v>4.81</v>
      </c>
      <c r="AA110" s="61">
        <v>0.95</v>
      </c>
      <c r="AB110" s="71">
        <v>0.82</v>
      </c>
      <c r="AC110" s="66" cm="1">
        <f t="array" ref="AC110">(Z110-Y110)/(3.92)</f>
        <v>2.19897959183673</v>
      </c>
      <c r="AD110" s="67" cm="1">
        <f t="array" ref="AD110">X110-1.96*AC110</f>
        <v>-3.81999999999999</v>
      </c>
      <c r="AE110" s="67" cm="1">
        <f t="array" ref="AE110">X110+1.96*AC110</f>
        <v>4.79999999999999</v>
      </c>
      <c r="AF110" t="s" s="52">
        <v>4092</v>
      </c>
      <c r="AG110" s="63"/>
      <c r="AH110" t="s" s="52">
        <v>3899</v>
      </c>
      <c r="AI110" s="53"/>
    </row>
    <row r="111" ht="30" customHeight="1">
      <c r="A111" t="s" s="46">
        <v>3037</v>
      </c>
      <c r="B111" t="s" s="52">
        <v>3815</v>
      </c>
      <c r="C111" t="s" s="52">
        <v>4086</v>
      </c>
      <c r="D111" t="s" s="52">
        <v>4002</v>
      </c>
      <c r="E111" s="53"/>
      <c r="F111" t="s" s="52">
        <v>4087</v>
      </c>
      <c r="G111" t="s" s="52">
        <v>4088</v>
      </c>
      <c r="H111" s="53"/>
      <c r="I111" s="54">
        <v>142</v>
      </c>
      <c r="J111" t="s" s="52">
        <v>3816</v>
      </c>
      <c r="K111" t="s" s="52">
        <v>3955</v>
      </c>
      <c r="L111" t="s" s="52">
        <v>4089</v>
      </c>
      <c r="M111" t="s" s="55">
        <v>3819</v>
      </c>
      <c r="N111" s="75" cm="1">
        <f t="array" ref="N111">105*140/(140+140+127+120+115)+109*140/(140+140+127+120+115)+108*127/(140+140+127+120+115)+109*120/(140+140+127+120+115)+109*115/(140+140+127+120+115)</f>
        <v>107.929906542056</v>
      </c>
      <c r="O111" t="s" s="52">
        <v>3820</v>
      </c>
      <c r="P111" t="s" s="52">
        <v>3877</v>
      </c>
      <c r="Q111" s="54">
        <v>1</v>
      </c>
      <c r="R111" t="s" s="55">
        <v>3819</v>
      </c>
      <c r="S111" s="56">
        <v>10.8</v>
      </c>
      <c r="T111" t="s" s="55">
        <v>3985</v>
      </c>
      <c r="U111" t="s" s="52">
        <v>4091</v>
      </c>
      <c r="V111" t="s" s="52">
        <v>3835</v>
      </c>
      <c r="W111" s="71">
        <v>1</v>
      </c>
      <c r="X111" s="71">
        <v>0.51</v>
      </c>
      <c r="Y111" s="60">
        <v>-3.19</v>
      </c>
      <c r="Z111" s="60">
        <v>4.21</v>
      </c>
      <c r="AA111" s="61">
        <v>0.95</v>
      </c>
      <c r="AB111" s="71">
        <v>0.79</v>
      </c>
      <c r="AC111" s="66" cm="1">
        <f t="array" ref="AC111">(Z111-Y111)/(3.92)</f>
        <v>1.88775510204082</v>
      </c>
      <c r="AD111" s="67" cm="1">
        <f t="array" ref="AD111">X111-1.96*AC111</f>
        <v>-3.19000000000001</v>
      </c>
      <c r="AE111" s="67" cm="1">
        <f t="array" ref="AE111">X111+1.96*AC111</f>
        <v>4.21000000000001</v>
      </c>
      <c r="AF111" t="s" s="52">
        <v>4092</v>
      </c>
      <c r="AG111" s="63"/>
      <c r="AH111" t="s" s="52">
        <v>3899</v>
      </c>
      <c r="AI111" s="53"/>
    </row>
    <row r="112" ht="30" customHeight="1">
      <c r="A112" t="s" s="46">
        <v>3037</v>
      </c>
      <c r="B112" t="s" s="52">
        <v>3815</v>
      </c>
      <c r="C112" t="s" s="52">
        <v>4086</v>
      </c>
      <c r="D112" t="s" s="52">
        <v>4002</v>
      </c>
      <c r="E112" s="53"/>
      <c r="F112" t="s" s="52">
        <v>4087</v>
      </c>
      <c r="G112" t="s" s="52">
        <v>4088</v>
      </c>
      <c r="H112" s="53"/>
      <c r="I112" s="54">
        <v>143</v>
      </c>
      <c r="J112" t="s" s="52">
        <v>3816</v>
      </c>
      <c r="K112" t="s" s="52">
        <v>3955</v>
      </c>
      <c r="L112" t="s" s="52">
        <v>4089</v>
      </c>
      <c r="M112" t="s" s="55">
        <v>3819</v>
      </c>
      <c r="N112" s="75" cm="1">
        <f t="array" ref="N112">105*140/(140+140+127+120+115)+109*140/(140+140+127+120+115)+108*127/(140+140+127+120+115)+109*120/(140+140+127+120+115)+109*115/(140+140+127+120+115)</f>
        <v>107.929906542056</v>
      </c>
      <c r="O112" t="s" s="52">
        <v>3820</v>
      </c>
      <c r="P112" t="s" s="52">
        <v>3877</v>
      </c>
      <c r="Q112" s="54">
        <v>2</v>
      </c>
      <c r="R112" t="s" s="55">
        <v>3819</v>
      </c>
      <c r="S112" s="56">
        <v>12.8</v>
      </c>
      <c r="T112" t="s" s="55">
        <v>3985</v>
      </c>
      <c r="U112" t="s" s="52">
        <v>4091</v>
      </c>
      <c r="V112" t="s" s="52">
        <v>3835</v>
      </c>
      <c r="W112" s="71">
        <v>1</v>
      </c>
      <c r="X112" s="71">
        <v>0.91</v>
      </c>
      <c r="Y112" s="60">
        <v>-2.67</v>
      </c>
      <c r="Z112" s="60">
        <v>4.49</v>
      </c>
      <c r="AA112" s="61">
        <v>0.95</v>
      </c>
      <c r="AB112" s="71">
        <v>0.62</v>
      </c>
      <c r="AC112" s="66" cm="1">
        <f t="array" ref="AC112">(Z112-Y112)/(3.92)</f>
        <v>1.8265306122449</v>
      </c>
      <c r="AD112" s="67" cm="1">
        <f t="array" ref="AD112">X112-1.96*AC112</f>
        <v>-2.67</v>
      </c>
      <c r="AE112" s="67" cm="1">
        <f t="array" ref="AE112">X112+1.96*AC112</f>
        <v>4.49</v>
      </c>
      <c r="AF112" t="s" s="52">
        <v>4092</v>
      </c>
      <c r="AG112" s="63"/>
      <c r="AH112" t="s" s="52">
        <v>3899</v>
      </c>
      <c r="AI112" s="53"/>
    </row>
    <row r="113" ht="30" customHeight="1">
      <c r="A113" t="s" s="46">
        <v>3037</v>
      </c>
      <c r="B113" t="s" s="52">
        <v>3815</v>
      </c>
      <c r="C113" t="s" s="52">
        <v>4086</v>
      </c>
      <c r="D113" t="s" s="52">
        <v>4002</v>
      </c>
      <c r="E113" s="53"/>
      <c r="F113" t="s" s="52">
        <v>4087</v>
      </c>
      <c r="G113" t="s" s="52">
        <v>4088</v>
      </c>
      <c r="H113" s="53"/>
      <c r="I113" s="54">
        <v>140</v>
      </c>
      <c r="J113" t="s" s="52">
        <v>3816</v>
      </c>
      <c r="K113" t="s" s="52">
        <v>3955</v>
      </c>
      <c r="L113" t="s" s="52">
        <v>4089</v>
      </c>
      <c r="M113" t="s" s="55">
        <v>3819</v>
      </c>
      <c r="N113" s="75" cm="1">
        <f t="array" ref="N113">105*140/(140+140+127+120+115)+109*140/(140+140+127+120+115)+108*127/(140+140+127+120+115)+109*120/(140+140+127+120+115)+109*115/(140+140+127+120+115)</f>
        <v>107.929906542056</v>
      </c>
      <c r="O113" t="s" s="52">
        <v>3820</v>
      </c>
      <c r="P113" t="s" s="52">
        <v>3877</v>
      </c>
      <c r="Q113" s="54">
        <v>3</v>
      </c>
      <c r="R113" t="s" s="55">
        <v>3819</v>
      </c>
      <c r="S113" s="56">
        <v>11.3</v>
      </c>
      <c r="T113" t="s" s="55">
        <v>3985</v>
      </c>
      <c r="U113" t="s" s="52">
        <v>4091</v>
      </c>
      <c r="V113" t="s" s="52">
        <v>3835</v>
      </c>
      <c r="W113" s="71">
        <v>1</v>
      </c>
      <c r="X113" s="71">
        <v>-0.58</v>
      </c>
      <c r="Y113" s="60">
        <v>-4.53</v>
      </c>
      <c r="Z113" s="60">
        <v>3.37</v>
      </c>
      <c r="AA113" s="61">
        <v>0.95</v>
      </c>
      <c r="AB113" s="71">
        <v>0.78</v>
      </c>
      <c r="AC113" s="66" cm="1">
        <f t="array" ref="AC113">(Z113-Y113)/(3.92)</f>
        <v>2.01530612244898</v>
      </c>
      <c r="AD113" s="67" cm="1">
        <f t="array" ref="AD113">X113-1.96*AC113</f>
        <v>-4.53</v>
      </c>
      <c r="AE113" s="67" cm="1">
        <f t="array" ref="AE113">X113+1.96*AC113</f>
        <v>3.37</v>
      </c>
      <c r="AF113" t="s" s="52">
        <v>4092</v>
      </c>
      <c r="AG113" s="63"/>
      <c r="AH113" t="s" s="52">
        <v>3899</v>
      </c>
      <c r="AI113" s="53"/>
    </row>
    <row r="114" ht="30" customHeight="1">
      <c r="A114" t="s" s="46">
        <v>3037</v>
      </c>
      <c r="B114" t="s" s="52">
        <v>3815</v>
      </c>
      <c r="C114" t="s" s="52">
        <v>4086</v>
      </c>
      <c r="D114" t="s" s="52">
        <v>4002</v>
      </c>
      <c r="E114" s="53"/>
      <c r="F114" t="s" s="52">
        <v>4087</v>
      </c>
      <c r="G114" t="s" s="52">
        <v>4088</v>
      </c>
      <c r="H114" s="53"/>
      <c r="I114" s="54">
        <v>142</v>
      </c>
      <c r="J114" t="s" s="52">
        <v>3816</v>
      </c>
      <c r="K114" t="s" s="52">
        <v>3955</v>
      </c>
      <c r="L114" t="s" s="52">
        <v>4089</v>
      </c>
      <c r="M114" t="s" s="55">
        <v>3819</v>
      </c>
      <c r="N114" s="75" cm="1">
        <f t="array" ref="N114">105*140/(140+140+127+120+115)+109*140/(140+140+127+120+115)+108*127/(140+140+127+120+115)+109*120/(140+140+127+120+115)+109*115/(140+140+127+120+115)</f>
        <v>107.929906542056</v>
      </c>
      <c r="O114" t="s" s="52">
        <v>3820</v>
      </c>
      <c r="P114" t="s" s="52">
        <v>3877</v>
      </c>
      <c r="Q114" s="54">
        <v>4</v>
      </c>
      <c r="R114" t="s" s="55">
        <v>3819</v>
      </c>
      <c r="S114" s="56">
        <v>10.3</v>
      </c>
      <c r="T114" t="s" s="55">
        <v>3985</v>
      </c>
      <c r="U114" t="s" s="52">
        <v>4091</v>
      </c>
      <c r="V114" t="s" s="52">
        <v>3835</v>
      </c>
      <c r="W114" s="71">
        <v>1</v>
      </c>
      <c r="X114" s="71">
        <v>1.17</v>
      </c>
      <c r="Y114" s="60">
        <v>-2.67</v>
      </c>
      <c r="Z114" s="60">
        <v>5.02</v>
      </c>
      <c r="AA114" s="61">
        <v>0.95</v>
      </c>
      <c r="AB114" s="71">
        <v>0.55</v>
      </c>
      <c r="AC114" s="66" cm="1">
        <f t="array" ref="AC114">(Z114-Y114)/(3.92)</f>
        <v>1.96173469387755</v>
      </c>
      <c r="AD114" s="67" cm="1">
        <f t="array" ref="AD114">X114-1.96*AC114</f>
        <v>-2.675</v>
      </c>
      <c r="AE114" s="67" cm="1">
        <f t="array" ref="AE114">X114+1.96*AC114</f>
        <v>5.015</v>
      </c>
      <c r="AF114" t="s" s="52">
        <v>4092</v>
      </c>
      <c r="AG114" s="63"/>
      <c r="AH114" t="s" s="52">
        <v>3899</v>
      </c>
      <c r="AI114" s="53"/>
    </row>
    <row r="115" ht="30" customHeight="1">
      <c r="A115" t="s" s="46">
        <v>3037</v>
      </c>
      <c r="B115" t="s" s="52">
        <v>3815</v>
      </c>
      <c r="C115" t="s" s="52">
        <v>4086</v>
      </c>
      <c r="D115" t="s" s="52">
        <v>4002</v>
      </c>
      <c r="E115" s="53"/>
      <c r="F115" t="s" s="52">
        <v>4087</v>
      </c>
      <c r="G115" t="s" s="52">
        <v>4088</v>
      </c>
      <c r="H115" s="53"/>
      <c r="I115" s="54">
        <v>136</v>
      </c>
      <c r="J115" t="s" s="52">
        <v>3816</v>
      </c>
      <c r="K115" t="s" s="52">
        <v>3955</v>
      </c>
      <c r="L115" t="s" s="52">
        <v>4089</v>
      </c>
      <c r="M115" t="s" s="55">
        <v>3819</v>
      </c>
      <c r="N115" s="75" cm="1">
        <f t="array" ref="N115">105*140/(140+140+127+120+115)+109*140/(140+140+127+120+115)+108*127/(140+140+127+120+115)+109*120/(140+140+127+120+115)+109*115/(140+140+127+120+115)</f>
        <v>107.929906542056</v>
      </c>
      <c r="O115" t="s" s="52">
        <v>3820</v>
      </c>
      <c r="P115" t="s" s="52">
        <v>3877</v>
      </c>
      <c r="Q115" s="54">
        <v>5</v>
      </c>
      <c r="R115" t="s" s="55">
        <v>3819</v>
      </c>
      <c r="S115" s="56">
        <v>9.300000000000001</v>
      </c>
      <c r="T115" t="s" s="55">
        <v>3985</v>
      </c>
      <c r="U115" t="s" s="52">
        <v>4091</v>
      </c>
      <c r="V115" t="s" s="52">
        <v>3835</v>
      </c>
      <c r="W115" s="71">
        <v>1</v>
      </c>
      <c r="X115" s="71">
        <v>-0.32</v>
      </c>
      <c r="Y115" s="60">
        <v>-4.26</v>
      </c>
      <c r="Z115" s="60">
        <v>3.36</v>
      </c>
      <c r="AA115" s="61">
        <v>0.95</v>
      </c>
      <c r="AB115" s="71">
        <v>0.87</v>
      </c>
      <c r="AC115" s="66" cm="1">
        <f t="array" ref="AC115">(Z115-Y115)/(3.92)</f>
        <v>1.94387755102041</v>
      </c>
      <c r="AD115" s="67" cm="1">
        <f t="array" ref="AD115">X115-1.96*AC115</f>
        <v>-4.13</v>
      </c>
      <c r="AE115" s="67" cm="1">
        <f t="array" ref="AE115">X115+1.96*AC115</f>
        <v>3.49</v>
      </c>
      <c r="AF115" t="s" s="52">
        <v>4092</v>
      </c>
      <c r="AG115" s="63"/>
      <c r="AH115" t="s" s="52">
        <v>3899</v>
      </c>
      <c r="AI115" s="53"/>
    </row>
    <row r="116" ht="30" customHeight="1">
      <c r="A116" t="s" s="46">
        <v>3037</v>
      </c>
      <c r="B116" t="s" s="52">
        <v>3815</v>
      </c>
      <c r="C116" t="s" s="52">
        <v>4086</v>
      </c>
      <c r="D116" t="s" s="52">
        <v>4002</v>
      </c>
      <c r="E116" s="53"/>
      <c r="F116" t="s" s="52">
        <v>4087</v>
      </c>
      <c r="G116" t="s" s="52">
        <v>4088</v>
      </c>
      <c r="H116" s="53"/>
      <c r="I116" s="54">
        <v>147</v>
      </c>
      <c r="J116" t="s" s="52">
        <v>3816</v>
      </c>
      <c r="K116" t="s" s="52">
        <v>3955</v>
      </c>
      <c r="L116" t="s" s="52">
        <v>4089</v>
      </c>
      <c r="M116" t="s" s="55">
        <v>3819</v>
      </c>
      <c r="N116" s="75" cm="1">
        <f t="array" ref="N116">105*140/(140+140+127+120+115)+109*140/(140+140+127+120+115)+108*127/(140+140+127+120+115)+109*120/(140+140+127+120+115)+109*115/(140+140+127+120+115)</f>
        <v>107.929906542056</v>
      </c>
      <c r="O116" t="s" s="52">
        <v>3820</v>
      </c>
      <c r="P116" t="s" s="52">
        <v>4098</v>
      </c>
      <c r="Q116" t="s" s="52">
        <v>4099</v>
      </c>
      <c r="R116" t="s" s="55">
        <v>3819</v>
      </c>
      <c r="S116" s="56" cm="1">
        <f t="array" ref="S116">10.8*142/(142+142)+12.8*142/(142+142)</f>
        <v>11.8</v>
      </c>
      <c r="T116" t="s" s="55">
        <v>3985</v>
      </c>
      <c r="U116" t="s" s="52">
        <v>4091</v>
      </c>
      <c r="V116" t="s" s="52">
        <v>3835</v>
      </c>
      <c r="W116" s="71">
        <v>1</v>
      </c>
      <c r="X116" s="71">
        <v>0.6</v>
      </c>
      <c r="Y116" s="60">
        <v>-3.36</v>
      </c>
      <c r="Z116" s="60">
        <v>4.57</v>
      </c>
      <c r="AA116" s="61">
        <v>0.95</v>
      </c>
      <c r="AB116" s="71">
        <v>0.76</v>
      </c>
      <c r="AC116" s="66" cm="1">
        <f t="array" ref="AC116">(Z116-Y116)/(3.92)</f>
        <v>2.02295918367347</v>
      </c>
      <c r="AD116" s="67" cm="1">
        <f t="array" ref="AD116">X116-1.96*AC116</f>
        <v>-3.365</v>
      </c>
      <c r="AE116" s="67" cm="1">
        <f t="array" ref="AE116">X116+1.96*AC116</f>
        <v>4.565</v>
      </c>
      <c r="AF116" t="s" s="52">
        <v>4092</v>
      </c>
      <c r="AG116" s="63"/>
      <c r="AH116" t="s" s="52">
        <v>3899</v>
      </c>
      <c r="AI116" s="53"/>
    </row>
    <row r="117" ht="30" customHeight="1">
      <c r="A117" t="s" s="46">
        <v>3037</v>
      </c>
      <c r="B117" t="s" s="52">
        <v>3815</v>
      </c>
      <c r="C117" t="s" s="52">
        <v>4086</v>
      </c>
      <c r="D117" t="s" s="52">
        <v>4002</v>
      </c>
      <c r="E117" s="53"/>
      <c r="F117" t="s" s="52">
        <v>4087</v>
      </c>
      <c r="G117" t="s" s="52">
        <v>4088</v>
      </c>
      <c r="H117" s="53"/>
      <c r="I117" s="54">
        <v>150</v>
      </c>
      <c r="J117" t="s" s="52">
        <v>3816</v>
      </c>
      <c r="K117" t="s" s="52">
        <v>3955</v>
      </c>
      <c r="L117" t="s" s="52">
        <v>4089</v>
      </c>
      <c r="M117" t="s" s="55">
        <v>3819</v>
      </c>
      <c r="N117" s="75" cm="1">
        <f t="array" ref="N117">105*140/(140+140+127+120+115)+109*140/(140+140+127+120+115)+108*127/(140+140+127+120+115)+109*120/(140+140+127+120+115)+109*115/(140+140+127+120+115)</f>
        <v>107.929906542056</v>
      </c>
      <c r="O117" t="s" s="52">
        <v>3820</v>
      </c>
      <c r="P117" t="s" s="52">
        <v>4100</v>
      </c>
      <c r="Q117" t="s" s="52">
        <v>4101</v>
      </c>
      <c r="R117" t="s" s="55">
        <v>3819</v>
      </c>
      <c r="S117" s="73" cm="1">
        <f t="array" ref="S117">11.3*140/(140+142)+10.3*142/(140+142)</f>
        <v>10.7964539007092</v>
      </c>
      <c r="T117" t="s" s="55">
        <v>3985</v>
      </c>
      <c r="U117" t="s" s="52">
        <v>4091</v>
      </c>
      <c r="V117" t="s" s="52">
        <v>3835</v>
      </c>
      <c r="W117" s="71">
        <v>1</v>
      </c>
      <c r="X117" s="71">
        <v>-0.08</v>
      </c>
      <c r="Y117" s="60">
        <v>-4.15</v>
      </c>
      <c r="Z117" s="60">
        <v>3.98</v>
      </c>
      <c r="AA117" s="61">
        <v>0.95</v>
      </c>
      <c r="AB117" s="71">
        <v>0.96</v>
      </c>
      <c r="AC117" s="66" cm="1">
        <f t="array" ref="AC117">(Z117-Y117)/(3.92)</f>
        <v>2.07397959183673</v>
      </c>
      <c r="AD117" s="67" cm="1">
        <f t="array" ref="AD117">X117-1.96*AC117</f>
        <v>-4.14499999999999</v>
      </c>
      <c r="AE117" s="67" cm="1">
        <f t="array" ref="AE117">X117+1.96*AC117</f>
        <v>3.98499999999999</v>
      </c>
      <c r="AF117" t="s" s="52">
        <v>4092</v>
      </c>
      <c r="AG117" s="63"/>
      <c r="AH117" t="s" s="52">
        <v>3899</v>
      </c>
      <c r="AI117" s="53"/>
    </row>
    <row r="118" ht="30" customHeight="1">
      <c r="A118" t="s" s="87">
        <v>3037</v>
      </c>
      <c r="B118" t="s" s="20">
        <v>3815</v>
      </c>
      <c r="C118" t="s" s="20">
        <v>4086</v>
      </c>
      <c r="D118" t="s" s="20">
        <v>4002</v>
      </c>
      <c r="E118" s="21"/>
      <c r="F118" t="s" s="20">
        <v>4087</v>
      </c>
      <c r="G118" t="s" s="20">
        <v>4088</v>
      </c>
      <c r="H118" s="21"/>
      <c r="I118" s="88">
        <v>150</v>
      </c>
      <c r="J118" t="s" s="20">
        <v>3816</v>
      </c>
      <c r="K118" t="s" s="20">
        <v>3955</v>
      </c>
      <c r="L118" t="s" s="20">
        <v>4089</v>
      </c>
      <c r="M118" t="s" s="89">
        <v>3819</v>
      </c>
      <c r="N118" s="90" cm="1">
        <f t="array" ref="N118">105*140/(140+140+127+120+115)+109*140/(140+140+127+120+115)+108*127/(140+140+127+120+115)+109*120/(140+140+127+120+115)+109*115/(140+140+127+120+115)</f>
        <v>107.929906542056</v>
      </c>
      <c r="O118" t="s" s="20">
        <v>3820</v>
      </c>
      <c r="P118" t="s" s="20">
        <v>3821</v>
      </c>
      <c r="Q118" s="21"/>
      <c r="R118" t="s" s="89">
        <v>3819</v>
      </c>
      <c r="S118" s="91" cm="1">
        <f t="array" ref="S118">7.9*135/(135+142+132+123+118)+7.5*142/(135+142+132+123+118)+6.4*132/(135+142+132+123+118)+6*123/(135+142+132+123+118)+5.6*118/(135+142+132+123+118)</f>
        <v>6.73092307692308</v>
      </c>
      <c r="T118" t="s" s="89">
        <v>3985</v>
      </c>
      <c r="U118" t="s" s="20">
        <v>4091</v>
      </c>
      <c r="V118" t="s" s="20">
        <v>3835</v>
      </c>
      <c r="W118" s="92">
        <v>1</v>
      </c>
      <c r="X118" s="92">
        <v>-2.45</v>
      </c>
      <c r="Y118" s="93">
        <v>-4.09</v>
      </c>
      <c r="Z118" s="93">
        <v>-0.8100000000000001</v>
      </c>
      <c r="AA118" s="94">
        <v>0.95</v>
      </c>
      <c r="AB118" s="92">
        <v>0.003</v>
      </c>
      <c r="AC118" s="95" cm="1">
        <f t="array" ref="AC118">(Z118-Y118)/(3.92)</f>
        <v>0.836734693877551</v>
      </c>
      <c r="AD118" s="96" cm="1">
        <f t="array" ref="AD118">X118-1.96*AC118</f>
        <v>-4.09</v>
      </c>
      <c r="AE118" s="96" cm="1">
        <f t="array" ref="AE118">X118+1.96*AC118</f>
        <v>-0.8100000000000001</v>
      </c>
      <c r="AF118" t="s" s="20">
        <v>4092</v>
      </c>
      <c r="AG118" s="97"/>
      <c r="AH118" t="s" s="20">
        <v>4102</v>
      </c>
      <c r="AI118" s="21"/>
    </row>
    <row r="119" ht="45" customHeight="1">
      <c r="A119" t="s" s="87">
        <v>3037</v>
      </c>
      <c r="B119" t="s" s="20">
        <v>3815</v>
      </c>
      <c r="C119" t="s" s="20">
        <v>4086</v>
      </c>
      <c r="D119" t="s" s="20">
        <v>4002</v>
      </c>
      <c r="E119" s="21"/>
      <c r="F119" t="s" s="20">
        <v>4087</v>
      </c>
      <c r="G119" t="s" s="20">
        <v>4088</v>
      </c>
      <c r="H119" s="21"/>
      <c r="I119" s="88">
        <v>150</v>
      </c>
      <c r="J119" t="s" s="20">
        <v>3816</v>
      </c>
      <c r="K119" t="s" s="20">
        <v>3955</v>
      </c>
      <c r="L119" t="s" s="20">
        <v>4089</v>
      </c>
      <c r="M119" t="s" s="89">
        <v>3819</v>
      </c>
      <c r="N119" s="90" cm="1">
        <f t="array" ref="N119">105*140/(140+140+127+120+115)+109*140/(140+140+127+120+115)+108*127/(140+140+127+120+115)+109*120/(140+140+127+120+115)+109*115/(140+140+127+120+115)</f>
        <v>107.929906542056</v>
      </c>
      <c r="O119" t="s" s="20">
        <v>3820</v>
      </c>
      <c r="P119" t="s" s="52">
        <v>4094</v>
      </c>
      <c r="Q119" t="s" s="20">
        <v>4095</v>
      </c>
      <c r="R119" t="s" s="89">
        <v>3819</v>
      </c>
      <c r="S119" s="98">
        <v>8.199999999999999</v>
      </c>
      <c r="T119" t="s" s="89">
        <v>3985</v>
      </c>
      <c r="U119" t="s" s="20">
        <v>4091</v>
      </c>
      <c r="V119" t="s" s="20">
        <v>3835</v>
      </c>
      <c r="W119" s="92">
        <v>1</v>
      </c>
      <c r="X119" s="92">
        <v>1.02</v>
      </c>
      <c r="Y119" s="93">
        <v>-1.98</v>
      </c>
      <c r="Z119" s="93">
        <v>4.03</v>
      </c>
      <c r="AA119" s="94">
        <v>0.95</v>
      </c>
      <c r="AB119" s="92">
        <v>0.5</v>
      </c>
      <c r="AC119" s="95" cm="1">
        <f t="array" ref="AC119">(Z119-Y119)/(3.92)</f>
        <v>1.53316326530612</v>
      </c>
      <c r="AD119" s="96" cm="1">
        <f t="array" ref="AD119">X119-1.96*AC119</f>
        <v>-1.985</v>
      </c>
      <c r="AE119" s="96" cm="1">
        <f t="array" ref="AE119">X119+1.96*AC119</f>
        <v>4.025</v>
      </c>
      <c r="AF119" t="s" s="20">
        <v>4103</v>
      </c>
      <c r="AG119" s="97"/>
      <c r="AH119" t="s" s="52">
        <v>3899</v>
      </c>
      <c r="AI119" s="21"/>
    </row>
    <row r="120" ht="45" customHeight="1">
      <c r="A120" t="s" s="87">
        <v>3037</v>
      </c>
      <c r="B120" t="s" s="20">
        <v>3815</v>
      </c>
      <c r="C120" t="s" s="20">
        <v>4086</v>
      </c>
      <c r="D120" t="s" s="20">
        <v>4002</v>
      </c>
      <c r="E120" s="21"/>
      <c r="F120" t="s" s="20">
        <v>4087</v>
      </c>
      <c r="G120" t="s" s="20">
        <v>4088</v>
      </c>
      <c r="H120" s="21"/>
      <c r="I120" s="88">
        <v>150</v>
      </c>
      <c r="J120" t="s" s="20">
        <v>3816</v>
      </c>
      <c r="K120" t="s" s="20">
        <v>3955</v>
      </c>
      <c r="L120" t="s" s="20">
        <v>4089</v>
      </c>
      <c r="M120" t="s" s="89">
        <v>3819</v>
      </c>
      <c r="N120" s="90" cm="1">
        <f t="array" ref="N120">105*140/(140+140+127+120+115)+109*140/(140+140+127+120+115)+108*127/(140+140+127+120+115)+109*120/(140+140+127+120+115)+109*115/(140+140+127+120+115)</f>
        <v>107.929906542056</v>
      </c>
      <c r="O120" t="s" s="20">
        <v>3820</v>
      </c>
      <c r="P120" t="s" s="20">
        <v>4094</v>
      </c>
      <c r="Q120" t="s" s="20">
        <v>4096</v>
      </c>
      <c r="R120" t="s" s="89">
        <v>3819</v>
      </c>
      <c r="S120" s="98">
        <v>7.8</v>
      </c>
      <c r="T120" t="s" s="89">
        <v>3985</v>
      </c>
      <c r="U120" t="s" s="20">
        <v>4091</v>
      </c>
      <c r="V120" t="s" s="20">
        <v>3835</v>
      </c>
      <c r="W120" s="92">
        <v>1</v>
      </c>
      <c r="X120" s="92">
        <v>-3.9</v>
      </c>
      <c r="Y120" s="93">
        <v>-6.45</v>
      </c>
      <c r="Z120" s="93">
        <v>-1.36</v>
      </c>
      <c r="AA120" s="94">
        <v>0.95</v>
      </c>
      <c r="AB120" s="92">
        <v>0.0029</v>
      </c>
      <c r="AC120" s="95" cm="1">
        <f t="array" ref="AC120">(Z120-Y120)/(3.92)</f>
        <v>1.2984693877551</v>
      </c>
      <c r="AD120" s="96" cm="1">
        <f t="array" ref="AD120">X120-1.96*AC120</f>
        <v>-6.445</v>
      </c>
      <c r="AE120" s="96" cm="1">
        <f t="array" ref="AE120">X120+1.96*AC120</f>
        <v>-1.355</v>
      </c>
      <c r="AF120" t="s" s="20">
        <v>4103</v>
      </c>
      <c r="AG120" s="97"/>
      <c r="AH120" t="s" s="52">
        <v>3899</v>
      </c>
      <c r="AI120" s="21"/>
    </row>
    <row r="121" ht="45" customHeight="1">
      <c r="A121" t="s" s="46">
        <v>3037</v>
      </c>
      <c r="B121" t="s" s="52">
        <v>3815</v>
      </c>
      <c r="C121" t="s" s="52">
        <v>4086</v>
      </c>
      <c r="D121" t="s" s="52">
        <v>4002</v>
      </c>
      <c r="E121" s="53"/>
      <c r="F121" t="s" s="52">
        <v>4087</v>
      </c>
      <c r="G121" t="s" s="52">
        <v>4088</v>
      </c>
      <c r="H121" s="53"/>
      <c r="I121" s="54">
        <v>150</v>
      </c>
      <c r="J121" t="s" s="52">
        <v>3816</v>
      </c>
      <c r="K121" t="s" s="52">
        <v>3955</v>
      </c>
      <c r="L121" t="s" s="52">
        <v>4089</v>
      </c>
      <c r="M121" t="s" s="55">
        <v>3819</v>
      </c>
      <c r="N121" s="75" cm="1">
        <f t="array" ref="N121">105*140/(140+140+127+120+115)+109*140/(140+140+127+120+115)+108*127/(140+140+127+120+115)+109*120/(140+140+127+120+115)+109*115/(140+140+127+120+115)</f>
        <v>107.929906542056</v>
      </c>
      <c r="O121" t="s" s="52">
        <v>3820</v>
      </c>
      <c r="P121" t="s" s="52">
        <v>3879</v>
      </c>
      <c r="Q121" t="s" s="52">
        <v>4104</v>
      </c>
      <c r="R121" t="s" s="55">
        <v>3819</v>
      </c>
      <c r="S121" s="73" cm="1">
        <f t="array" ref="S121">10.8*142/(142+142+140+142+136)+12.8*142/(142+142+140+142+136)+11.3*140/(142+142+140+142+136)+10.3*142/(142+142+140+142+136)+9.3*136/(142+142+140+142+136)</f>
        <v>10.9125356125356</v>
      </c>
      <c r="T121" t="s" s="55">
        <v>3985</v>
      </c>
      <c r="U121" t="s" s="52">
        <v>4091</v>
      </c>
      <c r="V121" t="s" s="52">
        <v>3835</v>
      </c>
      <c r="W121" s="71">
        <v>1</v>
      </c>
      <c r="X121" s="71">
        <v>0.1</v>
      </c>
      <c r="Y121" s="60">
        <v>-3.88</v>
      </c>
      <c r="Z121" s="60">
        <v>4.06</v>
      </c>
      <c r="AA121" s="61">
        <v>0.95</v>
      </c>
      <c r="AB121" s="71">
        <v>0.96</v>
      </c>
      <c r="AC121" s="66" cm="1">
        <f t="array" ref="AC121">(Z121-Y121)/(3.92)</f>
        <v>2.02551020408163</v>
      </c>
      <c r="AD121" s="67" cm="1">
        <f t="array" ref="AD121">X121-1.96*AC121</f>
        <v>-3.86999999999999</v>
      </c>
      <c r="AE121" s="67" cm="1">
        <f t="array" ref="AE121">X121+1.96*AC121</f>
        <v>4.06999999999999</v>
      </c>
      <c r="AF121" t="s" s="52">
        <v>4103</v>
      </c>
      <c r="AG121" s="63"/>
      <c r="AH121" t="s" s="52">
        <v>3899</v>
      </c>
      <c r="AI121" s="53"/>
    </row>
    <row r="122" ht="45" customHeight="1">
      <c r="A122" t="s" s="46">
        <v>3037</v>
      </c>
      <c r="B122" t="s" s="52">
        <v>3815</v>
      </c>
      <c r="C122" t="s" s="52">
        <v>4086</v>
      </c>
      <c r="D122" t="s" s="52">
        <v>4002</v>
      </c>
      <c r="E122" s="53"/>
      <c r="F122" t="s" s="52">
        <v>4087</v>
      </c>
      <c r="G122" t="s" s="52">
        <v>4088</v>
      </c>
      <c r="H122" s="53"/>
      <c r="I122" s="54">
        <v>150</v>
      </c>
      <c r="J122" t="s" s="52">
        <v>3816</v>
      </c>
      <c r="K122" t="s" s="52">
        <v>3955</v>
      </c>
      <c r="L122" t="s" s="52">
        <v>4089</v>
      </c>
      <c r="M122" t="s" s="55">
        <v>3819</v>
      </c>
      <c r="N122" s="75" cm="1">
        <f t="array" ref="N122">105*140/(140+140+127+120+115)+109*140/(140+140+127+120+115)+108*127/(140+140+127+120+115)+109*120/(140+140+127+120+115)+109*115/(140+140+127+120+115)</f>
        <v>107.929906542056</v>
      </c>
      <c r="O122" t="s" s="52">
        <v>3820</v>
      </c>
      <c r="P122" t="s" s="52">
        <v>3821</v>
      </c>
      <c r="Q122" s="53"/>
      <c r="R122" t="s" s="55">
        <v>3819</v>
      </c>
      <c r="S122" s="73" cm="1">
        <f t="array" ref="S122">7.9*135/(135+142+132+123+118)+7.5*142/(135+142+132+123+118)+6.4*132/(135+142+132+123+118)+6*123/(135+142+132+123+118)+5.6*118/(135+142+132+123+118)</f>
        <v>6.73092307692308</v>
      </c>
      <c r="T122" t="s" s="55">
        <v>3985</v>
      </c>
      <c r="U122" t="s" s="52">
        <v>4091</v>
      </c>
      <c r="V122" t="s" s="52">
        <v>3835</v>
      </c>
      <c r="W122" s="71">
        <v>1</v>
      </c>
      <c r="X122" s="71">
        <v>0.17</v>
      </c>
      <c r="Y122" s="60">
        <v>-1.41</v>
      </c>
      <c r="Z122" s="60">
        <v>1.76</v>
      </c>
      <c r="AA122" s="61">
        <v>0.95</v>
      </c>
      <c r="AB122" s="71">
        <v>0.83</v>
      </c>
      <c r="AC122" s="66" cm="1">
        <f t="array" ref="AC122">(Z122-Y122)/(3.92)</f>
        <v>0.808673469387755</v>
      </c>
      <c r="AD122" s="67" cm="1">
        <f t="array" ref="AD122">X122-1.96*AC122</f>
        <v>-1.415</v>
      </c>
      <c r="AE122" s="67" cm="1">
        <f t="array" ref="AE122">X122+1.96*AC122</f>
        <v>1.755</v>
      </c>
      <c r="AF122" t="s" s="52">
        <v>4105</v>
      </c>
      <c r="AG122" s="63"/>
      <c r="AH122" s="53"/>
      <c r="AI122" t="s" s="52">
        <v>277</v>
      </c>
    </row>
    <row r="123" ht="30" customHeight="1">
      <c r="A123" t="s" s="46">
        <v>3190</v>
      </c>
      <c r="B123" t="s" s="52">
        <v>4106</v>
      </c>
      <c r="C123" t="s" s="52">
        <v>4107</v>
      </c>
      <c r="D123" t="s" s="52">
        <v>3864</v>
      </c>
      <c r="E123" s="53"/>
      <c r="F123" t="s" s="52">
        <v>4108</v>
      </c>
      <c r="G123" t="s" s="52">
        <v>4109</v>
      </c>
      <c r="H123" t="s" s="52">
        <v>3815</v>
      </c>
      <c r="I123" s="54">
        <v>222</v>
      </c>
      <c r="J123" t="s" s="52">
        <v>3816</v>
      </c>
      <c r="K123" t="s" s="52">
        <v>4065</v>
      </c>
      <c r="L123" t="s" s="52">
        <v>4110</v>
      </c>
      <c r="M123" t="s" s="55">
        <v>3819</v>
      </c>
      <c r="N123" t="s" s="55">
        <v>3814</v>
      </c>
      <c r="O123" t="s" s="52">
        <v>4042</v>
      </c>
      <c r="P123" t="s" s="52">
        <v>3821</v>
      </c>
      <c r="Q123" s="53"/>
      <c r="R123" t="s" s="55">
        <v>3819</v>
      </c>
      <c r="S123" s="56">
        <v>0.38</v>
      </c>
      <c r="T123" t="s" s="55">
        <v>3909</v>
      </c>
      <c r="U123" s="53"/>
      <c r="V123" t="s" s="57">
        <v>4111</v>
      </c>
      <c r="W123" s="58"/>
      <c r="X123" s="59"/>
      <c r="Y123" s="60"/>
      <c r="Z123" s="60"/>
      <c r="AA123" s="61"/>
      <c r="AB123" s="58"/>
      <c r="AC123" s="59"/>
      <c r="AD123" s="62"/>
      <c r="AE123" s="62"/>
      <c r="AF123" s="53"/>
      <c r="AG123" s="63"/>
      <c r="AH123" t="s" s="52">
        <v>4112</v>
      </c>
      <c r="AI123" s="53"/>
    </row>
    <row r="124" ht="60" customHeight="1">
      <c r="A124" t="s" s="46">
        <v>3249</v>
      </c>
      <c r="B124" t="s" s="52">
        <v>4113</v>
      </c>
      <c r="C124" t="s" s="52">
        <v>4114</v>
      </c>
      <c r="D124" t="s" s="52">
        <v>3864</v>
      </c>
      <c r="E124" s="53"/>
      <c r="F124" t="s" s="52">
        <v>3813</v>
      </c>
      <c r="G124" t="s" s="52">
        <v>3814</v>
      </c>
      <c r="H124" t="s" s="52">
        <v>3815</v>
      </c>
      <c r="I124" s="54">
        <v>512</v>
      </c>
      <c r="J124" t="s" s="52">
        <v>3816</v>
      </c>
      <c r="K124" t="s" s="52">
        <v>3872</v>
      </c>
      <c r="L124" t="s" s="52">
        <v>4089</v>
      </c>
      <c r="M124" t="s" s="55">
        <v>3819</v>
      </c>
      <c r="N124" t="s" s="55">
        <v>3814</v>
      </c>
      <c r="O124" t="s" s="52">
        <v>3820</v>
      </c>
      <c r="P124" t="s" s="52">
        <v>3821</v>
      </c>
      <c r="Q124" s="53"/>
      <c r="R124" s="72"/>
      <c r="S124" t="s" s="79">
        <v>3967</v>
      </c>
      <c r="T124" s="72"/>
      <c r="U124" s="53"/>
      <c r="V124" t="s" s="57">
        <v>3823</v>
      </c>
      <c r="W124" s="58"/>
      <c r="X124" s="59"/>
      <c r="Y124" s="60"/>
      <c r="Z124" s="60"/>
      <c r="AA124" s="61"/>
      <c r="AB124" s="58"/>
      <c r="AC124" s="59"/>
      <c r="AD124" s="62"/>
      <c r="AE124" s="62"/>
      <c r="AF124" s="53"/>
      <c r="AG124" s="63"/>
      <c r="AH124" t="s" s="52">
        <v>45</v>
      </c>
      <c r="AI124" s="53"/>
    </row>
    <row r="125" ht="105" customHeight="1">
      <c r="A125" t="s" s="46">
        <v>3304</v>
      </c>
      <c r="B125" t="s" s="52">
        <v>4115</v>
      </c>
      <c r="C125" t="s" s="52">
        <v>4116</v>
      </c>
      <c r="D125" t="s" s="52">
        <v>3826</v>
      </c>
      <c r="E125" s="53"/>
      <c r="F125" t="s" s="52">
        <v>4117</v>
      </c>
      <c r="G125" t="s" s="52">
        <v>4118</v>
      </c>
      <c r="H125" t="s" s="52">
        <v>3981</v>
      </c>
      <c r="I125" t="s" s="52">
        <v>4119</v>
      </c>
      <c r="J125" t="s" s="52">
        <v>3816</v>
      </c>
      <c r="K125" t="s" s="57">
        <v>4120</v>
      </c>
      <c r="L125" s="54">
        <v>4</v>
      </c>
      <c r="M125" t="s" s="55">
        <v>3819</v>
      </c>
      <c r="N125" s="73" cm="1">
        <f t="array" ref="N125">103.1*230/(230+174)+107.1*174/(230+174)</f>
        <v>104.822772277228</v>
      </c>
      <c r="O125" t="s" s="52">
        <v>3820</v>
      </c>
      <c r="P125" t="s" s="52">
        <v>3922</v>
      </c>
      <c r="Q125" t="s" s="52">
        <v>4121</v>
      </c>
      <c r="R125" t="s" s="55">
        <v>3819</v>
      </c>
      <c r="S125" s="56">
        <v>3.67</v>
      </c>
      <c r="T125" t="s" s="55">
        <v>3985</v>
      </c>
      <c r="U125" t="s" s="52">
        <v>3850</v>
      </c>
      <c r="V125" t="s" s="52">
        <v>3835</v>
      </c>
      <c r="W125" s="71">
        <v>1</v>
      </c>
      <c r="X125" s="71">
        <v>0.02</v>
      </c>
      <c r="Y125" s="60">
        <v>-0.9</v>
      </c>
      <c r="Z125" s="60">
        <v>0.9399999999999999</v>
      </c>
      <c r="AA125" s="61">
        <v>0.95</v>
      </c>
      <c r="AB125" s="71">
        <v>0.96</v>
      </c>
      <c r="AC125" s="66">
        <v>0.469387755102041</v>
      </c>
      <c r="AD125" s="67">
        <v>-0.9</v>
      </c>
      <c r="AE125" s="67">
        <v>0.9399999999999999</v>
      </c>
      <c r="AF125" t="s" s="52">
        <v>4122</v>
      </c>
      <c r="AG125" s="63"/>
      <c r="AH125" t="s" s="52">
        <v>3899</v>
      </c>
      <c r="AI125" s="53"/>
    </row>
    <row r="126" ht="105" customHeight="1">
      <c r="A126" t="s" s="46">
        <v>3304</v>
      </c>
      <c r="B126" t="s" s="52">
        <v>4115</v>
      </c>
      <c r="C126" t="s" s="52">
        <v>4116</v>
      </c>
      <c r="D126" t="s" s="52">
        <v>3826</v>
      </c>
      <c r="E126" s="53"/>
      <c r="F126" t="s" s="52">
        <v>4117</v>
      </c>
      <c r="G126" t="s" s="52">
        <v>4118</v>
      </c>
      <c r="H126" t="s" s="52">
        <v>3981</v>
      </c>
      <c r="I126" t="s" s="52">
        <v>4123</v>
      </c>
      <c r="J126" t="s" s="52">
        <v>3816</v>
      </c>
      <c r="K126" t="s" s="52">
        <v>4124</v>
      </c>
      <c r="L126" s="54">
        <v>8</v>
      </c>
      <c r="M126" t="s" s="55">
        <v>3819</v>
      </c>
      <c r="N126" s="73" cm="1">
        <f t="array" ref="N126">104.2*1113/(1113+1104)+104.8*1104/(1113+1104)</f>
        <v>104.498782138024</v>
      </c>
      <c r="O126" t="s" s="52">
        <v>3820</v>
      </c>
      <c r="P126" t="s" s="52">
        <v>3922</v>
      </c>
      <c r="Q126" t="s" s="52">
        <v>4121</v>
      </c>
      <c r="R126" t="s" s="55">
        <v>3819</v>
      </c>
      <c r="S126" s="56">
        <v>3.67</v>
      </c>
      <c r="T126" t="s" s="55">
        <v>3985</v>
      </c>
      <c r="U126" t="s" s="52">
        <v>3850</v>
      </c>
      <c r="V126" t="s" s="52">
        <v>3835</v>
      </c>
      <c r="W126" s="71">
        <v>1</v>
      </c>
      <c r="X126" s="71">
        <v>0.33</v>
      </c>
      <c r="Y126" s="60">
        <v>-0.1</v>
      </c>
      <c r="Z126" s="60">
        <v>0.76</v>
      </c>
      <c r="AA126" s="61">
        <v>0.95</v>
      </c>
      <c r="AB126" s="71">
        <v>0.127</v>
      </c>
      <c r="AC126" s="66">
        <v>0.219387755102041</v>
      </c>
      <c r="AD126" s="67">
        <v>-0.1</v>
      </c>
      <c r="AE126" s="67">
        <v>0.76</v>
      </c>
      <c r="AF126" t="s" s="52">
        <v>4122</v>
      </c>
      <c r="AG126" s="63"/>
      <c r="AH126" t="s" s="52">
        <v>3899</v>
      </c>
      <c r="AI126" s="53"/>
    </row>
    <row r="127" ht="105" customHeight="1">
      <c r="A127" t="s" s="46">
        <v>3308</v>
      </c>
      <c r="B127" t="s" s="52">
        <v>4115</v>
      </c>
      <c r="C127" t="s" s="52">
        <v>4116</v>
      </c>
      <c r="D127" t="s" s="52">
        <v>3826</v>
      </c>
      <c r="E127" s="53"/>
      <c r="F127" t="s" s="52">
        <v>3944</v>
      </c>
      <c r="G127" t="s" s="52">
        <v>4118</v>
      </c>
      <c r="H127" t="s" s="52">
        <v>3981</v>
      </c>
      <c r="I127" s="54">
        <v>348</v>
      </c>
      <c r="J127" t="s" s="52">
        <v>3816</v>
      </c>
      <c r="K127" t="s" s="57">
        <v>4125</v>
      </c>
      <c r="L127" s="54">
        <v>4</v>
      </c>
      <c r="M127" t="s" s="55">
        <v>3819</v>
      </c>
      <c r="N127" s="73" cm="1">
        <f t="array" ref="N127">103.5*197/(197+151)+107*151/(197+151)</f>
        <v>105.018678160920</v>
      </c>
      <c r="O127" t="s" s="52">
        <v>3820</v>
      </c>
      <c r="P127" t="s" s="52">
        <v>3922</v>
      </c>
      <c r="Q127" s="53"/>
      <c r="R127" t="s" s="55">
        <v>3819</v>
      </c>
      <c r="S127" s="56">
        <v>3.67</v>
      </c>
      <c r="T127" t="s" s="55">
        <v>3985</v>
      </c>
      <c r="U127" t="s" s="52">
        <v>3850</v>
      </c>
      <c r="V127" t="s" s="52">
        <v>3835</v>
      </c>
      <c r="W127" s="71">
        <v>1</v>
      </c>
      <c r="X127" s="71">
        <v>-0.32</v>
      </c>
      <c r="Y127" s="60">
        <v>-1.32</v>
      </c>
      <c r="Z127" s="60">
        <v>0.68</v>
      </c>
      <c r="AA127" s="61">
        <v>0.95</v>
      </c>
      <c r="AB127" s="71">
        <v>0.529</v>
      </c>
      <c r="AC127" s="66">
        <v>0.510204081632653</v>
      </c>
      <c r="AD127" s="67">
        <v>-1.32</v>
      </c>
      <c r="AE127" s="67">
        <v>0.68</v>
      </c>
      <c r="AF127" t="s" s="52">
        <v>4122</v>
      </c>
      <c r="AG127" s="63"/>
      <c r="AH127" t="s" s="52">
        <v>3899</v>
      </c>
      <c r="AI127" s="53"/>
    </row>
    <row r="128" ht="105" customHeight="1">
      <c r="A128" t="s" s="46">
        <v>3308</v>
      </c>
      <c r="B128" t="s" s="52">
        <v>4115</v>
      </c>
      <c r="C128" t="s" s="52">
        <v>4116</v>
      </c>
      <c r="D128" t="s" s="52">
        <v>3826</v>
      </c>
      <c r="E128" s="53"/>
      <c r="F128" t="s" s="52">
        <v>3944</v>
      </c>
      <c r="G128" t="s" s="52">
        <v>4118</v>
      </c>
      <c r="H128" t="s" s="52">
        <v>3981</v>
      </c>
      <c r="I128" s="54">
        <v>1823</v>
      </c>
      <c r="J128" t="s" s="52">
        <v>3816</v>
      </c>
      <c r="K128" t="s" s="52">
        <v>4126</v>
      </c>
      <c r="L128" s="54">
        <v>8</v>
      </c>
      <c r="M128" t="s" s="55">
        <v>3819</v>
      </c>
      <c r="N128" s="73" cm="1">
        <f t="array" ref="N128">104.4*926/(926+900)+105.3*900/(926+900)</f>
        <v>104.843592552026</v>
      </c>
      <c r="O128" t="s" s="52">
        <v>3820</v>
      </c>
      <c r="P128" t="s" s="52">
        <v>3922</v>
      </c>
      <c r="Q128" s="53"/>
      <c r="R128" t="s" s="55">
        <v>3819</v>
      </c>
      <c r="S128" s="56">
        <v>3.67</v>
      </c>
      <c r="T128" t="s" s="55">
        <v>3985</v>
      </c>
      <c r="U128" t="s" s="52">
        <v>3850</v>
      </c>
      <c r="V128" t="s" s="52">
        <v>3835</v>
      </c>
      <c r="W128" s="71">
        <v>1</v>
      </c>
      <c r="X128" s="71">
        <v>0.26</v>
      </c>
      <c r="Y128" s="60">
        <v>-0.21</v>
      </c>
      <c r="Z128" s="60">
        <v>0.73</v>
      </c>
      <c r="AA128" s="61">
        <v>0.95</v>
      </c>
      <c r="AB128" s="71">
        <v>0.278</v>
      </c>
      <c r="AC128" s="66">
        <v>0.239795918367347</v>
      </c>
      <c r="AD128" s="67">
        <v>-0.21</v>
      </c>
      <c r="AE128" s="67">
        <v>0.73</v>
      </c>
      <c r="AF128" t="s" s="52">
        <v>4122</v>
      </c>
      <c r="AG128" s="63"/>
      <c r="AH128" t="s" s="52">
        <v>3899</v>
      </c>
      <c r="AI128" s="53"/>
    </row>
    <row r="129" ht="90" customHeight="1">
      <c r="A129" t="s" s="46">
        <v>3531</v>
      </c>
      <c r="B129" t="s" s="52">
        <v>4127</v>
      </c>
      <c r="C129" t="s" s="52">
        <v>4128</v>
      </c>
      <c r="D129" t="s" s="52">
        <v>3943</v>
      </c>
      <c r="E129" s="53"/>
      <c r="F129" t="s" s="52">
        <v>4127</v>
      </c>
      <c r="G129" t="s" s="52">
        <v>4129</v>
      </c>
      <c r="H129" t="s" s="52">
        <v>3815</v>
      </c>
      <c r="I129" s="54">
        <v>148</v>
      </c>
      <c r="J129" t="s" s="52">
        <v>3816</v>
      </c>
      <c r="K129" t="s" s="52">
        <v>3843</v>
      </c>
      <c r="L129" s="54">
        <v>7</v>
      </c>
      <c r="M129" t="s" s="55">
        <v>3819</v>
      </c>
      <c r="N129" s="56">
        <v>108.48</v>
      </c>
      <c r="O129" t="s" s="52">
        <v>3820</v>
      </c>
      <c r="P129" t="s" s="52">
        <v>3922</v>
      </c>
      <c r="Q129" t="s" s="52">
        <v>4093</v>
      </c>
      <c r="R129" t="s" s="55">
        <v>3819</v>
      </c>
      <c r="S129" s="56" cm="1">
        <f t="array" ref="S129">S130/10</f>
        <v>2.826</v>
      </c>
      <c r="T129" t="s" s="55">
        <v>3822</v>
      </c>
      <c r="U129" t="s" s="52">
        <v>3850</v>
      </c>
      <c r="V129" s="53"/>
      <c r="W129" s="71">
        <v>1</v>
      </c>
      <c r="X129" s="71" cm="1">
        <f t="array" ref="X129">X130/10</f>
        <v>-0.0056</v>
      </c>
      <c r="Y129" s="71" cm="1">
        <f t="array" ref="Y129">Y130/10</f>
        <v>-0.0145</v>
      </c>
      <c r="Z129" s="71" cm="1">
        <f t="array" ref="Z129">Z130/10</f>
        <v>0.0033</v>
      </c>
      <c r="AA129" s="61"/>
      <c r="AB129" t="s" s="99">
        <v>4130</v>
      </c>
      <c r="AC129" s="66" cm="1">
        <f t="array" ref="AC129">(Z129-Y129)/(3.92)</f>
        <v>0.00454081632653061</v>
      </c>
      <c r="AD129" s="67"/>
      <c r="AE129" s="67"/>
      <c r="AF129" t="s" s="52">
        <v>4131</v>
      </c>
      <c r="AG129" s="63"/>
      <c r="AH129" t="s" s="52">
        <v>3871</v>
      </c>
      <c r="AI129" s="53"/>
    </row>
    <row r="130" ht="90" customHeight="1">
      <c r="A130" t="s" s="46">
        <v>3531</v>
      </c>
      <c r="B130" t="s" s="52">
        <v>4127</v>
      </c>
      <c r="C130" t="s" s="52">
        <v>4128</v>
      </c>
      <c r="D130" t="s" s="52">
        <v>3943</v>
      </c>
      <c r="E130" s="53"/>
      <c r="F130" t="s" s="52">
        <v>4127</v>
      </c>
      <c r="G130" t="s" s="52">
        <v>4129</v>
      </c>
      <c r="H130" t="s" s="52">
        <v>3815</v>
      </c>
      <c r="I130" s="54">
        <v>148</v>
      </c>
      <c r="J130" t="s" s="52">
        <v>3816</v>
      </c>
      <c r="K130" t="s" s="52">
        <v>3843</v>
      </c>
      <c r="L130" s="54">
        <v>7</v>
      </c>
      <c r="M130" t="s" s="55">
        <v>3819</v>
      </c>
      <c r="N130" s="56">
        <v>108.48</v>
      </c>
      <c r="O130" t="s" s="52">
        <v>3820</v>
      </c>
      <c r="P130" t="s" s="52">
        <v>3922</v>
      </c>
      <c r="Q130" t="s" s="52">
        <v>4093</v>
      </c>
      <c r="R130" t="s" s="55">
        <v>3819</v>
      </c>
      <c r="S130" s="56">
        <v>28.26</v>
      </c>
      <c r="T130" t="s" s="55">
        <v>3948</v>
      </c>
      <c r="U130" t="s" s="52">
        <v>3850</v>
      </c>
      <c r="V130" t="s" s="52">
        <v>3835</v>
      </c>
      <c r="W130" s="71">
        <v>1</v>
      </c>
      <c r="X130" s="71">
        <v>-0.056</v>
      </c>
      <c r="Y130" s="60">
        <v>-0.145</v>
      </c>
      <c r="Z130" s="60">
        <v>0.033</v>
      </c>
      <c r="AA130" s="61">
        <v>0.95</v>
      </c>
      <c r="AB130" s="71">
        <v>0.21731</v>
      </c>
      <c r="AC130" s="66" cm="1">
        <f t="array" ref="AC130">(Z130-Y130)/(3.92)</f>
        <v>0.0454081632653061</v>
      </c>
      <c r="AD130" s="67" cm="1">
        <f t="array" ref="AD130">X130-1.96*AC130</f>
        <v>-0.145</v>
      </c>
      <c r="AE130" s="67" cm="1">
        <f t="array" ref="AE130">X130+1.96*AC130</f>
        <v>0.033</v>
      </c>
      <c r="AF130" t="s" s="52">
        <v>4131</v>
      </c>
      <c r="AG130" s="63"/>
      <c r="AH130" t="s" s="52">
        <v>3871</v>
      </c>
      <c r="AI130" s="53"/>
    </row>
    <row r="131" ht="90" customHeight="1">
      <c r="A131" t="s" s="46">
        <v>3531</v>
      </c>
      <c r="B131" t="s" s="52">
        <v>4127</v>
      </c>
      <c r="C131" t="s" s="52">
        <v>4128</v>
      </c>
      <c r="D131" t="s" s="52">
        <v>3943</v>
      </c>
      <c r="E131" s="53"/>
      <c r="F131" t="s" s="52">
        <v>4127</v>
      </c>
      <c r="G131" t="s" s="52">
        <v>4129</v>
      </c>
      <c r="H131" t="s" s="52">
        <v>3815</v>
      </c>
      <c r="I131" s="54">
        <v>148</v>
      </c>
      <c r="J131" t="s" s="52">
        <v>3816</v>
      </c>
      <c r="K131" t="s" s="52">
        <v>3843</v>
      </c>
      <c r="L131" s="54">
        <v>7</v>
      </c>
      <c r="M131" t="s" s="55">
        <v>3819</v>
      </c>
      <c r="N131" s="56">
        <v>108.48</v>
      </c>
      <c r="O131" t="s" s="52">
        <v>3820</v>
      </c>
      <c r="P131" t="s" s="52">
        <v>3821</v>
      </c>
      <c r="Q131" s="53"/>
      <c r="R131" t="s" s="55">
        <v>3819</v>
      </c>
      <c r="S131" s="56" cm="1">
        <f t="array" ref="S131">S132/10</f>
        <v>2.299</v>
      </c>
      <c r="T131" t="s" s="55">
        <v>3822</v>
      </c>
      <c r="U131" t="s" s="52">
        <v>3850</v>
      </c>
      <c r="V131" s="53"/>
      <c r="W131" s="71">
        <v>1</v>
      </c>
      <c r="X131" s="71" cm="1">
        <f t="array" ref="X131">X132/10</f>
        <v>-0.0095</v>
      </c>
      <c r="Y131" s="71" cm="1">
        <f t="array" ref="Y131">Y132/10</f>
        <v>-0.0353</v>
      </c>
      <c r="Z131" s="71" cm="1">
        <f t="array" ref="Z131">Z132/10</f>
        <v>0.0164</v>
      </c>
      <c r="AA131" s="61"/>
      <c r="AB131" t="s" s="99">
        <v>4130</v>
      </c>
      <c r="AC131" s="66" cm="1">
        <f t="array" ref="AC131">(Z131-Y131)/(3.92)</f>
        <v>0.0131887755102041</v>
      </c>
      <c r="AD131" s="67"/>
      <c r="AE131" s="67"/>
      <c r="AF131" t="s" s="52">
        <v>4131</v>
      </c>
      <c r="AG131" s="63"/>
      <c r="AH131" t="s" s="52">
        <v>3871</v>
      </c>
      <c r="AI131" s="53"/>
    </row>
    <row r="132" ht="90" customHeight="1">
      <c r="A132" t="s" s="46">
        <v>3531</v>
      </c>
      <c r="B132" t="s" s="52">
        <v>4127</v>
      </c>
      <c r="C132" t="s" s="52">
        <v>4128</v>
      </c>
      <c r="D132" t="s" s="52">
        <v>3943</v>
      </c>
      <c r="E132" s="53"/>
      <c r="F132" t="s" s="52">
        <v>4127</v>
      </c>
      <c r="G132" t="s" s="52">
        <v>4129</v>
      </c>
      <c r="H132" t="s" s="52">
        <v>3815</v>
      </c>
      <c r="I132" s="54">
        <v>148</v>
      </c>
      <c r="J132" t="s" s="52">
        <v>3816</v>
      </c>
      <c r="K132" t="s" s="52">
        <v>3843</v>
      </c>
      <c r="L132" s="54">
        <v>7</v>
      </c>
      <c r="M132" t="s" s="55">
        <v>3819</v>
      </c>
      <c r="N132" s="56">
        <v>108.48</v>
      </c>
      <c r="O132" t="s" s="52">
        <v>3820</v>
      </c>
      <c r="P132" t="s" s="52">
        <v>3821</v>
      </c>
      <c r="Q132" s="53"/>
      <c r="R132" t="s" s="55">
        <v>3819</v>
      </c>
      <c r="S132" s="56">
        <v>22.99</v>
      </c>
      <c r="T132" t="s" s="55">
        <v>3948</v>
      </c>
      <c r="U132" t="s" s="52">
        <v>3850</v>
      </c>
      <c r="V132" t="s" s="52">
        <v>3835</v>
      </c>
      <c r="W132" s="71">
        <v>1</v>
      </c>
      <c r="X132" s="71">
        <v>-0.095</v>
      </c>
      <c r="Y132" s="60">
        <v>-0.353</v>
      </c>
      <c r="Z132" s="60">
        <v>0.164</v>
      </c>
      <c r="AA132" s="61">
        <v>0.95</v>
      </c>
      <c r="AB132" s="100">
        <v>0.47517</v>
      </c>
      <c r="AC132" s="66" cm="1">
        <f t="array" ref="AC132">(Z132-Y132)/(3.92)</f>
        <v>0.131887755102041</v>
      </c>
      <c r="AD132" s="67" cm="1">
        <f t="array" ref="AD132">X132-1.96*AC132</f>
        <v>-0.3535</v>
      </c>
      <c r="AE132" s="67" cm="1">
        <f t="array" ref="AE132">X132+1.96*AC132</f>
        <v>0.1635</v>
      </c>
      <c r="AF132" t="s" s="52">
        <v>4131</v>
      </c>
      <c r="AG132" s="63"/>
      <c r="AH132" t="s" s="52">
        <v>3871</v>
      </c>
      <c r="AI132" s="53"/>
    </row>
    <row r="133" ht="42" customHeight="1">
      <c r="A133" t="s" s="87">
        <v>3752</v>
      </c>
      <c r="B133" t="s" s="101">
        <v>3941</v>
      </c>
      <c r="C133" t="s" s="101">
        <v>4132</v>
      </c>
      <c r="D133" t="s" s="101">
        <v>3943</v>
      </c>
      <c r="E133" s="84"/>
      <c r="F133" t="s" s="101">
        <v>4127</v>
      </c>
      <c r="G133" t="s" s="101">
        <v>4133</v>
      </c>
      <c r="H133" t="s" s="101">
        <v>3981</v>
      </c>
      <c r="I133" s="102">
        <v>296</v>
      </c>
      <c r="J133" t="s" s="101">
        <v>3816</v>
      </c>
      <c r="K133" t="s" s="101">
        <v>4134</v>
      </c>
      <c r="L133" t="s" s="101">
        <v>3946</v>
      </c>
      <c r="M133" t="s" s="89">
        <v>3819</v>
      </c>
      <c r="N133" s="98">
        <v>97.93000000000001</v>
      </c>
      <c r="O133" t="s" s="101">
        <v>4135</v>
      </c>
      <c r="P133" t="s" s="101">
        <v>3821</v>
      </c>
      <c r="Q133" s="84"/>
      <c r="R133" t="s" s="89">
        <v>3819</v>
      </c>
      <c r="S133" s="98">
        <v>1.43</v>
      </c>
      <c r="T133" t="s" s="89">
        <v>3948</v>
      </c>
      <c r="U133" t="s" s="103">
        <v>3924</v>
      </c>
      <c r="V133" t="s" s="103">
        <v>3835</v>
      </c>
      <c r="W133" s="92">
        <v>1</v>
      </c>
      <c r="X133" s="92">
        <v>-0.5679999999999999</v>
      </c>
      <c r="Y133" s="93">
        <v>-1.747</v>
      </c>
      <c r="Z133" s="93">
        <v>0.61</v>
      </c>
      <c r="AA133" s="94">
        <v>0.95</v>
      </c>
      <c r="AB133" s="104">
        <v>0.345</v>
      </c>
      <c r="AC133" s="95" cm="1">
        <f t="array" ref="AC133">(Z133-Y133)/(3.92)</f>
        <v>0.601275510204082</v>
      </c>
      <c r="AD133" s="96" cm="1">
        <f t="array" ref="AD133">X133-1.96*AC133</f>
        <v>-1.7465</v>
      </c>
      <c r="AE133" s="96" cm="1">
        <f t="array" ref="AE133">X133+1.96*AC133</f>
        <v>0.610500000000001</v>
      </c>
      <c r="AF133" t="s" s="103">
        <v>4136</v>
      </c>
      <c r="AG133" s="97"/>
      <c r="AH133" t="s" s="101">
        <v>3913</v>
      </c>
      <c r="AI133" s="84"/>
    </row>
    <row r="134" ht="42" customHeight="1">
      <c r="A134" t="s" s="87">
        <v>3752</v>
      </c>
      <c r="B134" t="s" s="101">
        <v>3941</v>
      </c>
      <c r="C134" t="s" s="101">
        <v>4132</v>
      </c>
      <c r="D134" t="s" s="101">
        <v>3943</v>
      </c>
      <c r="E134" s="84"/>
      <c r="F134" t="s" s="101">
        <v>4127</v>
      </c>
      <c r="G134" t="s" s="101">
        <v>4133</v>
      </c>
      <c r="H134" t="s" s="101">
        <v>3981</v>
      </c>
      <c r="I134" s="102">
        <v>296</v>
      </c>
      <c r="J134" t="s" s="101">
        <v>3816</v>
      </c>
      <c r="K134" t="s" s="101">
        <v>4134</v>
      </c>
      <c r="L134" t="s" s="101">
        <v>3946</v>
      </c>
      <c r="M134" t="s" s="89">
        <v>3819</v>
      </c>
      <c r="N134" s="98">
        <v>97.93000000000001</v>
      </c>
      <c r="O134" t="s" s="101">
        <v>4137</v>
      </c>
      <c r="P134" t="s" s="101">
        <v>3821</v>
      </c>
      <c r="Q134" s="84"/>
      <c r="R134" t="s" s="89">
        <v>3819</v>
      </c>
      <c r="S134" s="98">
        <v>1.41</v>
      </c>
      <c r="T134" t="s" s="89">
        <v>3948</v>
      </c>
      <c r="U134" t="s" s="103">
        <v>3924</v>
      </c>
      <c r="V134" t="s" s="103">
        <v>4038</v>
      </c>
      <c r="W134" s="92">
        <v>1</v>
      </c>
      <c r="X134" s="105">
        <v>-0.574257425742574</v>
      </c>
      <c r="Y134" s="93">
        <v>-1.72277227722772</v>
      </c>
      <c r="Z134" s="93">
        <v>0.613861386138614</v>
      </c>
      <c r="AA134" s="94">
        <v>0.95</v>
      </c>
      <c r="AB134" s="106"/>
      <c r="AC134" s="95" cm="1">
        <f t="array" ref="AC134">(Z134-Y134)/(3.92)</f>
        <v>0.596080016164881</v>
      </c>
      <c r="AD134" s="96" cm="1">
        <f t="array" ref="AD134">X134-1.96*AC134</f>
        <v>-1.74257425742574</v>
      </c>
      <c r="AE134" s="96" cm="1">
        <f t="array" ref="AE134">X134+1.96*AC134</f>
        <v>0.594059405940593</v>
      </c>
      <c r="AF134" t="s" s="103">
        <v>4136</v>
      </c>
      <c r="AG134" s="97"/>
      <c r="AH134" t="s" s="101">
        <v>3913</v>
      </c>
      <c r="AI134" s="84"/>
    </row>
    <row r="135" ht="42" customHeight="1">
      <c r="A135" t="s" s="87">
        <v>3752</v>
      </c>
      <c r="B135" t="s" s="101">
        <v>3941</v>
      </c>
      <c r="C135" t="s" s="101">
        <v>4132</v>
      </c>
      <c r="D135" t="s" s="101">
        <v>3943</v>
      </c>
      <c r="E135" s="84"/>
      <c r="F135" t="s" s="101">
        <v>4127</v>
      </c>
      <c r="G135" t="s" s="101">
        <v>4133</v>
      </c>
      <c r="H135" t="s" s="101">
        <v>3981</v>
      </c>
      <c r="I135" s="102">
        <v>296</v>
      </c>
      <c r="J135" t="s" s="101">
        <v>3816</v>
      </c>
      <c r="K135" t="s" s="101">
        <v>4134</v>
      </c>
      <c r="L135" t="s" s="101">
        <v>3946</v>
      </c>
      <c r="M135" t="s" s="89">
        <v>3819</v>
      </c>
      <c r="N135" s="98">
        <v>97.93000000000001</v>
      </c>
      <c r="O135" t="s" s="101">
        <v>3820</v>
      </c>
      <c r="P135" t="s" s="101">
        <v>3922</v>
      </c>
      <c r="Q135" t="s" s="101">
        <v>4093</v>
      </c>
      <c r="R135" t="s" s="89">
        <v>3819</v>
      </c>
      <c r="S135" s="98" cm="1">
        <f t="array" ref="S135">S136/10</f>
        <v>1.588</v>
      </c>
      <c r="T135" t="s" s="55">
        <v>4138</v>
      </c>
      <c r="U135" t="s" s="103">
        <v>3924</v>
      </c>
      <c r="V135" s="83"/>
      <c r="W135" s="92">
        <v>1</v>
      </c>
      <c r="X135" t="s" s="99">
        <v>4130</v>
      </c>
      <c r="Y135" s="93"/>
      <c r="Z135" s="93"/>
      <c r="AA135" s="94"/>
      <c r="AB135" s="106"/>
      <c r="AC135" s="95"/>
      <c r="AD135" s="96"/>
      <c r="AE135" s="96"/>
      <c r="AF135" t="s" s="103">
        <v>4136</v>
      </c>
      <c r="AG135" s="97"/>
      <c r="AH135" t="s" s="101">
        <v>3913</v>
      </c>
      <c r="AI135" s="84"/>
    </row>
    <row r="136" ht="42" customHeight="1">
      <c r="A136" t="s" s="87">
        <v>3752</v>
      </c>
      <c r="B136" t="s" s="101">
        <v>3941</v>
      </c>
      <c r="C136" t="s" s="101">
        <v>4132</v>
      </c>
      <c r="D136" t="s" s="101">
        <v>3943</v>
      </c>
      <c r="E136" s="84"/>
      <c r="F136" t="s" s="101">
        <v>4127</v>
      </c>
      <c r="G136" t="s" s="101">
        <v>4133</v>
      </c>
      <c r="H136" t="s" s="101">
        <v>3981</v>
      </c>
      <c r="I136" s="102">
        <v>296</v>
      </c>
      <c r="J136" t="s" s="101">
        <v>3816</v>
      </c>
      <c r="K136" t="s" s="101">
        <v>4134</v>
      </c>
      <c r="L136" t="s" s="101">
        <v>3946</v>
      </c>
      <c r="M136" t="s" s="89">
        <v>3819</v>
      </c>
      <c r="N136" s="98">
        <v>97.93000000000001</v>
      </c>
      <c r="O136" t="s" s="101">
        <v>3820</v>
      </c>
      <c r="P136" t="s" s="101">
        <v>3922</v>
      </c>
      <c r="Q136" t="s" s="101">
        <v>4093</v>
      </c>
      <c r="R136" t="s" s="89">
        <v>3819</v>
      </c>
      <c r="S136" s="98">
        <v>15.88</v>
      </c>
      <c r="T136" t="s" s="89">
        <v>3948</v>
      </c>
      <c r="U136" t="s" s="103">
        <v>3924</v>
      </c>
      <c r="V136" t="s" s="103">
        <v>4038</v>
      </c>
      <c r="W136" s="92">
        <v>1</v>
      </c>
      <c r="X136" s="105">
        <v>0.81188118811881</v>
      </c>
      <c r="Y136" s="93">
        <v>-0.851485148514851</v>
      </c>
      <c r="Z136" s="93">
        <v>2.47524752475247</v>
      </c>
      <c r="AA136" s="94">
        <v>0.95</v>
      </c>
      <c r="AB136" s="107"/>
      <c r="AC136" s="95" cm="1">
        <f t="array" ref="AC136">(Z136-Y136)/(3.92)</f>
        <v>0.848656294200847</v>
      </c>
      <c r="AD136" s="96" cm="1">
        <f t="array" ref="AD136">X136-1.96*AC136</f>
        <v>-0.85148514851485</v>
      </c>
      <c r="AE136" s="96" cm="1">
        <f t="array" ref="AE136">X136+1.96*AC136</f>
        <v>2.47524752475247</v>
      </c>
      <c r="AF136" t="s" s="103">
        <v>4136</v>
      </c>
      <c r="AG136" s="97"/>
      <c r="AH136" t="s" s="101">
        <v>3913</v>
      </c>
      <c r="AI136" s="84"/>
    </row>
  </sheetData>
  <mergeCells count="5">
    <mergeCell ref="AH1:AI1"/>
    <mergeCell ref="O1:T1"/>
    <mergeCell ref="J1:N1"/>
    <mergeCell ref="U1:AF1"/>
    <mergeCell ref="B1:I1"/>
  </mergeCells>
  <conditionalFormatting sqref="O1 O3:O136">
    <cfRule type="cellIs" dxfId="4" priority="1" operator="notEqual" stopIfTrue="1">
      <formula>"Blood"</formula>
    </cfRule>
  </conditionalFormatting>
  <conditionalFormatting sqref="U1:U136">
    <cfRule type="cellIs" dxfId="5" priority="1" operator="equal" stopIfTrue="1">
      <formula>"linear"</formula>
    </cfRule>
  </conditionalFormatting>
  <conditionalFormatting sqref="P3:P71 P73:P136">
    <cfRule type="cellIs" dxfId="6" priority="1" operator="notEqual" stopIfTrue="1">
      <formula>"Concurrent"</formula>
    </cfRule>
  </conditionalFormatting>
  <conditionalFormatting sqref="AH3:AH136">
    <cfRule type="notContainsBlanks" dxfId="7" priority="1" stopIfTrue="1">
      <formula>NOT(ISBLANK(AH3))</formula>
    </cfRule>
  </conditionalFormatting>
  <conditionalFormatting sqref="AI3:AI136">
    <cfRule type="containsText" dxfId="8" priority="1" stopIfTrue="1" text="YES">
      <formula>NOT(ISERROR(FIND(UPPER("YES"),UPPER(AI3))))</formula>
      <formula>"YES"</formula>
    </cfRule>
    <cfRule type="cellIs" dxfId="9" priority="2" operator="equal" stopIfTrue="1">
      <formula>"YES"</formula>
    </cfRule>
  </conditionalFormatting>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38"/>
  <sheetViews>
    <sheetView workbookViewId="0" showGridLines="0" defaultGridColor="1"/>
  </sheetViews>
  <sheetFormatPr defaultColWidth="11.5" defaultRowHeight="15" customHeight="1" outlineLevelRow="0" outlineLevelCol="0"/>
  <cols>
    <col min="1" max="1" width="23.5" style="108" customWidth="1"/>
    <col min="2" max="2" width="29.5" style="108" customWidth="1"/>
    <col min="3" max="3" width="46.6719" style="108" customWidth="1"/>
    <col min="4" max="4" width="29.5" style="108" customWidth="1"/>
    <col min="5" max="5" hidden="1" width="11.5" style="108" customWidth="1"/>
    <col min="6" max="16384" width="11.5" style="108" customWidth="1"/>
  </cols>
  <sheetData>
    <row r="1" ht="60" customHeight="1">
      <c r="A1" t="s" s="109">
        <v>4139</v>
      </c>
      <c r="B1" t="s" s="110">
        <v>4140</v>
      </c>
      <c r="C1" t="s" s="111">
        <v>3809</v>
      </c>
      <c r="D1" t="s" s="112">
        <v>4141</v>
      </c>
      <c r="E1" s="113"/>
    </row>
    <row r="2" ht="14.05" customHeight="1">
      <c r="A2" t="s" s="114">
        <v>41</v>
      </c>
      <c r="B2" t="s" s="115">
        <v>4142</v>
      </c>
      <c r="C2" t="s" s="116">
        <v>45</v>
      </c>
      <c r="D2" s="117"/>
      <c r="E2" s="113"/>
    </row>
    <row r="3" ht="13.55" customHeight="1">
      <c r="A3" t="s" s="118">
        <v>274</v>
      </c>
      <c r="B3" t="s" s="119">
        <v>4142</v>
      </c>
      <c r="C3" s="120"/>
      <c r="D3" t="s" s="121">
        <v>4142</v>
      </c>
      <c r="E3" t="s" s="122">
        <v>4142</v>
      </c>
    </row>
    <row r="4" ht="13.55" customHeight="1">
      <c r="A4" t="s" s="118">
        <v>447</v>
      </c>
      <c r="B4" t="s" s="119">
        <v>4142</v>
      </c>
      <c r="C4" t="s" s="22">
        <v>1518</v>
      </c>
      <c r="D4" s="123"/>
      <c r="E4" s="113"/>
    </row>
    <row r="5" ht="13.55" customHeight="1">
      <c r="A5" t="s" s="118">
        <v>519</v>
      </c>
      <c r="B5" t="s" s="119">
        <v>4142</v>
      </c>
      <c r="C5" t="s" s="22">
        <v>521</v>
      </c>
      <c r="D5" s="123"/>
      <c r="E5" t="s" s="122">
        <v>4142</v>
      </c>
    </row>
    <row r="6" ht="13.55" customHeight="1">
      <c r="A6" t="s" s="118">
        <v>652</v>
      </c>
      <c r="B6" t="s" s="119">
        <v>4142</v>
      </c>
      <c r="C6" t="s" s="22">
        <v>521</v>
      </c>
      <c r="D6" s="123"/>
      <c r="E6" t="s" s="122">
        <v>4142</v>
      </c>
    </row>
    <row r="7" ht="13.55" customHeight="1">
      <c r="A7" t="s" s="118">
        <v>687</v>
      </c>
      <c r="B7" t="s" s="119">
        <v>4142</v>
      </c>
      <c r="C7" t="s" s="22">
        <v>3889</v>
      </c>
      <c r="D7" s="123"/>
      <c r="E7" s="113"/>
    </row>
    <row r="8" ht="13.55" customHeight="1">
      <c r="A8" t="s" s="118">
        <v>780</v>
      </c>
      <c r="B8" t="s" s="119">
        <v>4142</v>
      </c>
      <c r="C8" s="120"/>
      <c r="D8" t="s" s="121">
        <v>4142</v>
      </c>
      <c r="E8" t="s" s="122">
        <v>4142</v>
      </c>
    </row>
    <row r="9" ht="13.55" customHeight="1">
      <c r="A9" t="s" s="118">
        <v>805</v>
      </c>
      <c r="B9" t="s" s="119">
        <v>4142</v>
      </c>
      <c r="C9" s="120"/>
      <c r="D9" t="s" s="121">
        <v>4142</v>
      </c>
      <c r="E9" t="s" s="122">
        <v>4142</v>
      </c>
    </row>
    <row r="10" ht="13.55" customHeight="1">
      <c r="A10" t="s" s="118">
        <v>907</v>
      </c>
      <c r="B10" t="s" s="119">
        <v>4142</v>
      </c>
      <c r="C10" s="120"/>
      <c r="D10" t="s" s="121">
        <v>4142</v>
      </c>
      <c r="E10" t="s" s="122">
        <v>4142</v>
      </c>
    </row>
    <row r="11" ht="13.55" customHeight="1">
      <c r="A11" t="s" s="118">
        <v>1062</v>
      </c>
      <c r="B11" t="s" s="119">
        <v>4142</v>
      </c>
      <c r="C11" s="120"/>
      <c r="D11" t="s" s="121">
        <v>4142</v>
      </c>
      <c r="E11" t="s" s="122">
        <v>4142</v>
      </c>
    </row>
    <row r="12" ht="13.55" customHeight="1">
      <c r="A12" t="s" s="118">
        <v>1405</v>
      </c>
      <c r="B12" t="s" s="119">
        <v>4142</v>
      </c>
      <c r="C12" t="s" s="22">
        <v>3306</v>
      </c>
      <c r="D12" s="123"/>
      <c r="E12" s="113"/>
    </row>
    <row r="13" ht="13.55" customHeight="1">
      <c r="A13" t="s" s="118">
        <v>1421</v>
      </c>
      <c r="B13" t="s" s="119">
        <v>4142</v>
      </c>
      <c r="C13" t="s" s="22">
        <v>521</v>
      </c>
      <c r="D13" s="123"/>
      <c r="E13" t="s" s="122">
        <v>4142</v>
      </c>
    </row>
    <row r="14" ht="13.55" customHeight="1">
      <c r="A14" t="s" s="118">
        <v>1456</v>
      </c>
      <c r="B14" t="s" s="119">
        <v>4142</v>
      </c>
      <c r="C14" t="s" s="22">
        <v>45</v>
      </c>
      <c r="D14" s="123"/>
      <c r="E14" s="113"/>
    </row>
    <row r="15" ht="13.55" customHeight="1">
      <c r="A15" t="s" s="118">
        <v>1504</v>
      </c>
      <c r="B15" t="s" s="119">
        <v>4142</v>
      </c>
      <c r="C15" s="120"/>
      <c r="D15" t="s" s="121">
        <v>4142</v>
      </c>
      <c r="E15" t="s" s="122">
        <v>4142</v>
      </c>
    </row>
    <row r="16" ht="13.55" customHeight="1">
      <c r="A16" t="s" s="118">
        <v>1557</v>
      </c>
      <c r="B16" t="s" s="119">
        <v>4142</v>
      </c>
      <c r="C16" t="s" s="22">
        <v>1559</v>
      </c>
      <c r="D16" s="123"/>
      <c r="E16" s="113"/>
    </row>
    <row r="17" ht="13.55" customHeight="1">
      <c r="A17" t="s" s="118">
        <v>1516</v>
      </c>
      <c r="B17" t="s" s="119">
        <v>4142</v>
      </c>
      <c r="C17" t="s" s="22">
        <v>1518</v>
      </c>
      <c r="D17" s="123"/>
      <c r="E17" t="s" s="122">
        <v>4142</v>
      </c>
    </row>
    <row r="18" ht="13.55" customHeight="1">
      <c r="A18" t="s" s="118">
        <v>1584</v>
      </c>
      <c r="B18" t="s" s="119">
        <v>4142</v>
      </c>
      <c r="C18" t="s" s="22">
        <v>521</v>
      </c>
      <c r="D18" s="123"/>
      <c r="E18" t="s" s="122">
        <v>4142</v>
      </c>
    </row>
    <row r="19" ht="13.55" customHeight="1">
      <c r="A19" t="s" s="118">
        <v>1692</v>
      </c>
      <c r="B19" t="s" s="119">
        <v>4142</v>
      </c>
      <c r="C19" t="s" s="22">
        <v>45</v>
      </c>
      <c r="D19" s="123"/>
      <c r="E19" s="113"/>
    </row>
    <row r="20" ht="13.55" customHeight="1">
      <c r="A20" t="s" s="118">
        <v>1787</v>
      </c>
      <c r="B20" t="s" s="119">
        <v>4142</v>
      </c>
      <c r="C20" t="s" s="22">
        <v>4018</v>
      </c>
      <c r="D20" s="123"/>
      <c r="E20" s="113"/>
    </row>
    <row r="21" ht="13.55" customHeight="1">
      <c r="A21" t="s" s="118">
        <v>1908</v>
      </c>
      <c r="B21" t="s" s="119">
        <v>4142</v>
      </c>
      <c r="C21" t="s" s="22">
        <v>1518</v>
      </c>
      <c r="D21" s="123"/>
      <c r="E21" t="s" s="122">
        <v>4142</v>
      </c>
    </row>
    <row r="22" ht="13.55" customHeight="1">
      <c r="A22" t="s" s="118">
        <v>1936</v>
      </c>
      <c r="B22" t="s" s="119">
        <v>4142</v>
      </c>
      <c r="C22" s="120"/>
      <c r="D22" t="s" s="121">
        <v>4142</v>
      </c>
      <c r="E22" t="s" s="122">
        <v>4142</v>
      </c>
    </row>
    <row r="23" ht="13.55" customHeight="1">
      <c r="A23" t="s" s="118">
        <v>1976</v>
      </c>
      <c r="B23" t="s" s="119">
        <v>4142</v>
      </c>
      <c r="C23" t="s" s="22">
        <v>45</v>
      </c>
      <c r="D23" s="123"/>
      <c r="E23" s="113"/>
    </row>
    <row r="24" ht="13.55" customHeight="1">
      <c r="A24" t="s" s="118">
        <v>2024</v>
      </c>
      <c r="B24" t="s" s="119">
        <v>4142</v>
      </c>
      <c r="C24" t="s" s="22">
        <v>3937</v>
      </c>
      <c r="D24" s="123"/>
      <c r="E24" s="113"/>
    </row>
    <row r="25" ht="13.55" customHeight="1">
      <c r="A25" t="s" s="118">
        <v>2080</v>
      </c>
      <c r="B25" t="s" s="119">
        <v>4142</v>
      </c>
      <c r="C25" s="120"/>
      <c r="D25" t="s" s="121">
        <v>4142</v>
      </c>
      <c r="E25" t="s" s="122">
        <v>4142</v>
      </c>
    </row>
    <row r="26" ht="13.55" customHeight="1">
      <c r="A26" t="s" s="118">
        <v>2083</v>
      </c>
      <c r="B26" t="s" s="119">
        <v>4142</v>
      </c>
      <c r="C26" s="120"/>
      <c r="D26" t="s" s="121">
        <v>4142</v>
      </c>
      <c r="E26" t="s" s="122">
        <v>4142</v>
      </c>
    </row>
    <row r="27" ht="13.55" customHeight="1">
      <c r="A27" t="s" s="118">
        <v>2277</v>
      </c>
      <c r="B27" t="s" s="119">
        <v>4142</v>
      </c>
      <c r="C27" s="120"/>
      <c r="D27" t="s" s="121">
        <v>4142</v>
      </c>
      <c r="E27" t="s" s="122">
        <v>4142</v>
      </c>
    </row>
    <row r="28" ht="13.55" customHeight="1">
      <c r="A28" t="s" s="118">
        <v>2314</v>
      </c>
      <c r="B28" t="s" s="119">
        <v>4142</v>
      </c>
      <c r="C28" t="s" s="22">
        <v>521</v>
      </c>
      <c r="D28" s="123"/>
      <c r="E28" t="s" s="122">
        <v>4142</v>
      </c>
    </row>
    <row r="29" ht="13.55" customHeight="1">
      <c r="A29" t="s" s="118">
        <v>2937</v>
      </c>
      <c r="B29" t="s" s="119">
        <v>4142</v>
      </c>
      <c r="C29" t="s" s="22">
        <v>4084</v>
      </c>
      <c r="D29" s="123"/>
      <c r="E29" s="113"/>
    </row>
    <row r="30" ht="13.55" customHeight="1">
      <c r="A30" t="s" s="118">
        <v>2941</v>
      </c>
      <c r="B30" t="s" s="119">
        <v>4142</v>
      </c>
      <c r="C30" s="120"/>
      <c r="D30" t="s" s="121">
        <v>4142</v>
      </c>
      <c r="E30" t="s" s="122">
        <v>4142</v>
      </c>
    </row>
    <row r="31" ht="13.55" customHeight="1">
      <c r="A31" t="s" s="118">
        <v>3037</v>
      </c>
      <c r="B31" t="s" s="119">
        <v>4142</v>
      </c>
      <c r="C31" s="120"/>
      <c r="D31" t="s" s="121">
        <v>4142</v>
      </c>
      <c r="E31" t="s" s="122">
        <v>4142</v>
      </c>
    </row>
    <row r="32" ht="13.55" customHeight="1">
      <c r="A32" t="s" s="118">
        <v>3190</v>
      </c>
      <c r="B32" t="s" s="119">
        <v>4142</v>
      </c>
      <c r="C32" t="s" s="22">
        <v>4143</v>
      </c>
      <c r="D32" s="123"/>
      <c r="E32" s="113"/>
    </row>
    <row r="33" ht="13.55" customHeight="1">
      <c r="A33" t="s" s="118">
        <v>3249</v>
      </c>
      <c r="B33" t="s" s="119">
        <v>4142</v>
      </c>
      <c r="C33" t="s" s="22">
        <v>45</v>
      </c>
      <c r="D33" s="123"/>
      <c r="E33" s="113"/>
    </row>
    <row r="34" ht="13.55" customHeight="1">
      <c r="A34" t="s" s="118">
        <v>3304</v>
      </c>
      <c r="B34" t="s" s="119">
        <v>4142</v>
      </c>
      <c r="C34" t="s" s="22">
        <v>3306</v>
      </c>
      <c r="D34" s="123"/>
      <c r="E34" t="s" s="122">
        <v>4142</v>
      </c>
    </row>
    <row r="35" ht="13.55" customHeight="1">
      <c r="A35" t="s" s="118">
        <v>3308</v>
      </c>
      <c r="B35" t="s" s="119">
        <v>4142</v>
      </c>
      <c r="C35" t="s" s="22">
        <v>3306</v>
      </c>
      <c r="D35" s="123"/>
      <c r="E35" s="113"/>
    </row>
    <row r="36" ht="13.55" customHeight="1">
      <c r="A36" t="s" s="118">
        <v>3531</v>
      </c>
      <c r="B36" t="s" s="119">
        <v>4142</v>
      </c>
      <c r="C36" t="s" s="22">
        <v>521</v>
      </c>
      <c r="D36" s="123"/>
      <c r="E36" t="s" s="122">
        <v>4142</v>
      </c>
    </row>
    <row r="37" ht="14.05" customHeight="1">
      <c r="A37" t="s" s="124">
        <v>3752</v>
      </c>
      <c r="B37" t="s" s="125">
        <v>4142</v>
      </c>
      <c r="C37" t="s" s="126">
        <v>3306</v>
      </c>
      <c r="D37" t="s" s="127">
        <v>4144</v>
      </c>
      <c r="E37" t="s" s="122">
        <v>4142</v>
      </c>
    </row>
    <row r="38" ht="14.55" customHeight="1">
      <c r="A38" t="s" s="128">
        <v>3865</v>
      </c>
      <c r="B38" s="129">
        <v>36</v>
      </c>
      <c r="C38" s="130">
        <v>24</v>
      </c>
      <c r="D38" s="131">
        <v>12</v>
      </c>
      <c r="E38" s="113"/>
    </row>
  </sheetData>
  <conditionalFormatting sqref="B2:B15">
    <cfRule type="containsText" dxfId="10" priority="1" stopIfTrue="1" text="x">
      <formula>NOT(ISERROR(FIND(UPPER("x"),UPPER(B2))))</formula>
      <formula>"x"</formula>
    </cfRule>
  </conditionalFormatting>
  <conditionalFormatting sqref="C2:C37">
    <cfRule type="notContainsBlanks" dxfId="11" priority="1" stopIfTrue="1">
      <formula>NOT(ISBLANK(C2))</formula>
    </cfRule>
  </conditionalFormatting>
  <conditionalFormatting sqref="D2:E37 B16:B37 A38:E38">
    <cfRule type="containsText" dxfId="12" priority="1" stopIfTrue="1" text="x">
      <formula>NOT(ISERROR(FIND(UPPER("x"),UPPER(D2))))</formula>
      <formula>"x"</formula>
    </cfRule>
  </conditionalFormatting>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B2:G19"/>
  <sheetViews>
    <sheetView workbookViewId="0" showGridLines="0" defaultGridColor="1">
      <pane topLeftCell="C1" xSplit="2" ySplit="0" activePane="topRight" state="frozen"/>
    </sheetView>
  </sheetViews>
  <sheetFormatPr defaultColWidth="11.5" defaultRowHeight="15.4" customHeight="1" outlineLevelRow="0" outlineLevelCol="0"/>
  <cols>
    <col min="1" max="1" width="1.20312" style="132" customWidth="1"/>
    <col min="2" max="2" width="27.2109" style="132" customWidth="1"/>
    <col min="3" max="3" width="7.42188" style="132" customWidth="1"/>
    <col min="4" max="4" width="7.97656" style="132" customWidth="1"/>
    <col min="5" max="5" width="11.6562" style="132" customWidth="1"/>
    <col min="6" max="6" width="21.3047" style="132" customWidth="1"/>
    <col min="7" max="7" width="8.15625" style="132" customWidth="1"/>
    <col min="8" max="16384" width="11.5" style="132" customWidth="1"/>
  </cols>
  <sheetData>
    <row r="1" ht="33.9" customHeight="1"/>
    <row r="2" ht="15.85" customHeight="1">
      <c r="B2" t="s" s="133">
        <v>4145</v>
      </c>
      <c r="C2" s="134"/>
      <c r="D2" s="135"/>
      <c r="E2" s="134"/>
      <c r="F2" s="134"/>
      <c r="G2" s="136"/>
    </row>
    <row r="3" ht="13.55" customHeight="1">
      <c r="B3" s="137" cm="1">
        <f t="array" ref="B3">EXP(1)</f>
        <v>2.71828182845905</v>
      </c>
      <c r="C3" s="138"/>
      <c r="D3" s="139"/>
      <c r="E3" s="138"/>
      <c r="F3" s="138"/>
      <c r="G3" s="140"/>
    </row>
    <row r="4" ht="13.55" customHeight="1">
      <c r="B4" s="141">
        <v>2</v>
      </c>
      <c r="C4" s="138"/>
      <c r="D4" s="138"/>
      <c r="E4" s="138"/>
      <c r="F4" s="138"/>
      <c r="G4" s="140"/>
    </row>
    <row r="5" ht="14.05" customHeight="1">
      <c r="B5" s="142">
        <v>10</v>
      </c>
      <c r="C5" s="143"/>
      <c r="D5" s="143"/>
      <c r="E5" s="143"/>
      <c r="F5" s="143"/>
      <c r="G5" s="144"/>
    </row>
    <row r="6" ht="16.8" customHeight="1">
      <c r="B6" t="s" s="145">
        <v>4139</v>
      </c>
      <c r="C6" t="s" s="146">
        <v>3835</v>
      </c>
      <c r="D6" t="s" s="146">
        <v>4146</v>
      </c>
      <c r="E6" t="s" s="147">
        <v>4147</v>
      </c>
      <c r="F6" t="s" s="148">
        <v>4148</v>
      </c>
      <c r="G6" s="149"/>
    </row>
    <row r="7" ht="18.35" customHeight="1">
      <c r="B7" s="150"/>
      <c r="C7" s="151"/>
      <c r="D7" s="151"/>
      <c r="E7" s="152"/>
      <c r="F7" t="s" s="153">
        <v>4149</v>
      </c>
      <c r="G7" t="s" s="154">
        <v>4150</v>
      </c>
    </row>
    <row r="8" ht="16.2" customHeight="1">
      <c r="B8" t="s" s="155">
        <v>4151</v>
      </c>
      <c r="C8" s="156">
        <v>-0.1</v>
      </c>
      <c r="D8" s="157">
        <v>0.8673629</v>
      </c>
      <c r="E8" s="158">
        <v>2.718</v>
      </c>
      <c r="F8" s="159" cm="1">
        <f t="array" ref="F8">IF(E8=$B$3,C8,IF(E8=$B$4,C8/LN(2),IF(E8=$B$5,C8/LN(10))))</f>
        <v>-0.1</v>
      </c>
      <c r="G8" s="160" cm="1">
        <f t="array" ref="G8">IF($E8=$B$3,D8,IF($E8=$B$4,D8/LN(2),IF($E8=$B$5,D8/LN(10))))</f>
        <v>0.8673629</v>
      </c>
    </row>
    <row r="9" ht="16.2" customHeight="1">
      <c r="B9" t="s" s="155">
        <v>4152</v>
      </c>
      <c r="C9" s="156">
        <v>-3.315</v>
      </c>
      <c r="D9" s="157">
        <v>0.6281</v>
      </c>
      <c r="E9" s="158">
        <v>2.718</v>
      </c>
      <c r="F9" s="159" cm="1">
        <f t="array" ref="F9">IF(E9=$B$3,C9,IF(E9=$B$4,C9/LN(2),IF(E9=$B$5,C9/LN(10))))</f>
        <v>-3.315</v>
      </c>
      <c r="G9" s="160" cm="1">
        <f t="array" ref="G9">IF($E9=$B$3,D9,IF($E9=$B$4,D9/LN(2),IF($E9=$B$5,D9/LN(10))))</f>
        <v>0.6281</v>
      </c>
    </row>
    <row r="10" ht="16.2" customHeight="1">
      <c r="B10" t="s" s="155">
        <v>4153</v>
      </c>
      <c r="C10" s="156">
        <v>-13.15</v>
      </c>
      <c r="D10" s="157">
        <v>3.709252</v>
      </c>
      <c r="E10" s="161">
        <v>10</v>
      </c>
      <c r="F10" s="159" cm="1">
        <f t="array" ref="F10">IF(E10=$B$3,C10,IF(E10=$B$4,C10/LN(2),IF(E10=$B$5,C10/LN(10))))</f>
        <v>-5.71097243702776</v>
      </c>
      <c r="G10" s="160" cm="1">
        <f t="array" ref="G10">IF($E10=$B$3,D10,IF($E10=$B$4,D10/LN(2),IF($E10=$B$5,D10/LN(10))))</f>
        <v>1.6109076755886</v>
      </c>
    </row>
    <row r="11" ht="16.2" customHeight="1">
      <c r="B11" t="s" s="155">
        <v>4154</v>
      </c>
      <c r="C11" s="156">
        <v>0.014</v>
      </c>
      <c r="D11" s="157">
        <v>0.04311304</v>
      </c>
      <c r="E11" s="161">
        <v>2</v>
      </c>
      <c r="F11" s="159" cm="1">
        <f t="array" ref="F11">IF(E11=$B$3,C11,IF(E11=$B$4,C11/LN(2),IF(E11=$B$5,C11/LN(10))))</f>
        <v>0.0201977305724455</v>
      </c>
      <c r="G11" s="160" cm="1">
        <f t="array" ref="G11">IF($E11=$B$3,D11,IF($E11=$B$4,D11/LN(2),IF($E11=$B$5,D11/LN(10))))</f>
        <v>0.0621989690056475</v>
      </c>
    </row>
    <row r="12" ht="16.2" customHeight="1">
      <c r="B12" t="s" s="155">
        <v>4155</v>
      </c>
      <c r="C12" s="156">
        <v>-13.5</v>
      </c>
      <c r="D12" s="157">
        <v>5.1</v>
      </c>
      <c r="E12" s="161">
        <v>10</v>
      </c>
      <c r="F12" s="159" cm="1">
        <f t="array" ref="F12">IF(E12=$B$3,C12,IF(E12=$B$4,C12/LN(2),IF(E12=$B$5,C12/LN(10))))</f>
        <v>-5.8629755056939</v>
      </c>
      <c r="G12" s="160" cm="1">
        <f t="array" ref="G12">IF($E12=$B$3,D12,IF($E12=$B$4,D12/LN(2),IF($E12=$B$5,D12/LN(10))))</f>
        <v>2.21490185770658</v>
      </c>
    </row>
    <row r="13" ht="16.2" customHeight="1">
      <c r="B13" t="s" s="155">
        <v>4156</v>
      </c>
      <c r="C13" s="156">
        <v>-7.23</v>
      </c>
      <c r="D13" s="157">
        <v>3.142915</v>
      </c>
      <c r="E13" s="161">
        <v>10</v>
      </c>
      <c r="F13" s="159" cm="1">
        <f t="array" ref="F13">IF(E13=$B$3,C13,IF(E13=$B$4,C13/LN(2),IF(E13=$B$5,C13/LN(10))))</f>
        <v>-3.13994910416051</v>
      </c>
      <c r="G13" s="160" cm="1">
        <f t="array" ref="G13">IF($E13=$B$3,D13,IF($E13=$B$4,D13/LN(2),IF($E13=$B$5,D13/LN(10))))</f>
        <v>1.36495064159096</v>
      </c>
    </row>
    <row r="14" ht="16.2" customHeight="1">
      <c r="B14" t="s" s="155">
        <v>4157</v>
      </c>
      <c r="C14" s="156">
        <v>-3.83</v>
      </c>
      <c r="D14" s="157">
        <v>2.250041</v>
      </c>
      <c r="E14" s="158">
        <v>2.718</v>
      </c>
      <c r="F14" s="159" cm="1">
        <f t="array" ref="F14">IF(E14=$B$3,C14,IF(E14=$B$4,C14/LN(2),IF(E14=$B$5,C14/LN(10))))</f>
        <v>-3.83</v>
      </c>
      <c r="G14" s="160" cm="1">
        <f t="array" ref="G14">IF($E14=$B$3,D14,IF($E14=$B$4,D14/LN(2),IF($E14=$B$5,D14/LN(10))))</f>
        <v>2.250041</v>
      </c>
    </row>
    <row r="15" ht="16.2" customHeight="1">
      <c r="B15" t="s" s="155">
        <v>4158</v>
      </c>
      <c r="C15" s="156">
        <v>-1.1</v>
      </c>
      <c r="D15" s="157">
        <v>0.842</v>
      </c>
      <c r="E15" s="158">
        <v>2.718</v>
      </c>
      <c r="F15" s="159" cm="1">
        <f t="array" ref="F15">IF(E15=$B$3,C15,IF(E15=$B$4,C15/LN(2),IF(E15=$B$5,C15/LN(10))))</f>
        <v>-1.1</v>
      </c>
      <c r="G15" s="160" cm="1">
        <f t="array" ref="G15">IF($E15=$B$3,D15,IF($E15=$B$4,D15/LN(2),IF($E15=$B$5,D15/LN(10))))</f>
        <v>0.842</v>
      </c>
    </row>
    <row r="16" ht="16.2" customHeight="1">
      <c r="B16" t="s" s="155">
        <v>4159</v>
      </c>
      <c r="C16" s="156">
        <v>-3.483</v>
      </c>
      <c r="D16" s="157">
        <v>1.481</v>
      </c>
      <c r="E16" s="158">
        <v>2.718</v>
      </c>
      <c r="F16" s="159" cm="1">
        <f t="array" ref="F16">IF(E16=$B$3,C16,IF(E16=$B$4,C16/LN(2),IF(E16=$B$5,C16/LN(10))))</f>
        <v>-3.483</v>
      </c>
      <c r="G16" s="160" cm="1">
        <f t="array" ref="G16">IF($E16=$B$3,D16,IF($E16=$B$4,D16/LN(2),IF($E16=$B$5,D16/LN(10))))</f>
        <v>1.481</v>
      </c>
    </row>
    <row r="17" ht="16.2" customHeight="1">
      <c r="B17" t="s" s="155">
        <v>4160</v>
      </c>
      <c r="C17" s="156">
        <v>-8.609</v>
      </c>
      <c r="D17" s="157">
        <v>2.965</v>
      </c>
      <c r="E17" s="162">
        <v>10</v>
      </c>
      <c r="F17" s="159" cm="1">
        <f t="array" ref="F17">IF(E17=$B$3,C17,IF(E17=$B$4,C17/LN(2),IF(E17=$B$5,C17/LN(10))))</f>
        <v>-3.73884119470509</v>
      </c>
      <c r="G17" s="160" cm="1">
        <f t="array" ref="G17">IF($E17=$B$3,D17,IF($E17=$B$4,D17/LN(2),IF($E17=$B$5,D17/LN(10))))</f>
        <v>1.28768313884314</v>
      </c>
    </row>
    <row r="18" ht="16.2" customHeight="1">
      <c r="B18" t="s" s="155">
        <v>4161</v>
      </c>
      <c r="C18" s="156">
        <v>-4.7</v>
      </c>
      <c r="D18" s="157">
        <v>1.658194</v>
      </c>
      <c r="E18" s="160">
        <v>2.718</v>
      </c>
      <c r="F18" s="159" cm="1">
        <f t="array" ref="F18">IF(E18=$B$3,C18,IF(E18=$B$4,C18/LN(2),IF(E18=$B$5,C18/LN(10))))</f>
        <v>-4.7</v>
      </c>
      <c r="G18" s="160" cm="1">
        <f t="array" ref="G18">IF($E18=$B$3,D18,IF($E18=$B$4,D18/LN(2),IF($E18=$B$5,D18/LN(10))))</f>
        <v>1.658194</v>
      </c>
    </row>
    <row r="19" ht="16.8" customHeight="1">
      <c r="B19" t="s" s="163">
        <v>4162</v>
      </c>
      <c r="C19" s="164">
        <v>0.17</v>
      </c>
      <c r="D19" s="165">
        <v>0.8087</v>
      </c>
      <c r="E19" s="166">
        <v>2.718</v>
      </c>
      <c r="F19" s="167" cm="1">
        <f t="array" ref="F19">IF(E19=$B$3,C19,IF(E19=$B$4,C19/LN(2),IF(E19=$B$5,C19/LN(10))))</f>
        <v>0.17</v>
      </c>
      <c r="G19" s="166" cm="1">
        <f t="array" ref="G19">IF($E19=$B$3,D19,IF($E19=$B$4,D19/LN(2),IF($E19=$B$5,D19/LN(10))))</f>
        <v>0.8087</v>
      </c>
    </row>
  </sheetData>
  <mergeCells count="5">
    <mergeCell ref="C6:C7"/>
    <mergeCell ref="D6:D7"/>
    <mergeCell ref="F6:G6"/>
    <mergeCell ref="E6:E7"/>
    <mergeCell ref="B6:B7"/>
  </mergeCells>
  <dataValidations count="2">
    <dataValidation type="list" allowBlank="1" showInputMessage="1" showErrorMessage="1" sqref="E8">
      <formula1>"2.718,2,10,2.72"</formula1>
    </dataValidation>
    <dataValidation type="list" allowBlank="1" showInputMessage="1" showErrorMessage="1" sqref="E9:E19">
      <formula1>"2.718,2,10"</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